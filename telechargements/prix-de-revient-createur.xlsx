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DEA79BD0-C41D-4D2D-BDED-897A9C757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 d'emploi" sheetId="1" r:id="rId1"/>
    <sheet name="Paramètres" sheetId="2" r:id="rId2"/>
    <sheet name="Matières" sheetId="3" r:id="rId3"/>
    <sheet name="Fiche 1" sheetId="4" r:id="rId4"/>
    <sheet name="Fiche 2" sheetId="5" r:id="rId5"/>
    <sheet name="Fiche 3" sheetId="6" r:id="rId6"/>
    <sheet name="Fiche 4" sheetId="7" r:id="rId7"/>
    <sheet name="Synthèse" sheetId="8" r:id="rId8"/>
  </sheets>
  <definedNames>
    <definedName name="_xlnm.Print_Area" localSheetId="3">'Fiche 1'!$A$1:$E$68</definedName>
    <definedName name="_xlnm.Print_Area" localSheetId="4">'Fiche 2'!$A$1:$E$68</definedName>
    <definedName name="_xlnm.Print_Area" localSheetId="5">'Fiche 3'!$A$1:$E$68</definedName>
    <definedName name="_xlnm.Print_Area" localSheetId="6">'Fiche 4'!$A$1:$E$68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7" i="8"/>
  <c r="B6" i="8"/>
  <c r="B5" i="8"/>
  <c r="A65" i="7"/>
  <c r="E48" i="7"/>
  <c r="E47" i="7"/>
  <c r="D47" i="7"/>
  <c r="B47" i="7"/>
  <c r="E46" i="7"/>
  <c r="D46" i="7"/>
  <c r="B46" i="7"/>
  <c r="E45" i="7"/>
  <c r="D45" i="7"/>
  <c r="B45" i="7"/>
  <c r="E44" i="7"/>
  <c r="D44" i="7"/>
  <c r="B44" i="7"/>
  <c r="B36" i="7"/>
  <c r="C30" i="7"/>
  <c r="E30" i="7" s="1"/>
  <c r="B30" i="7"/>
  <c r="C29" i="7"/>
  <c r="E29" i="7" s="1"/>
  <c r="B29" i="7"/>
  <c r="C28" i="7"/>
  <c r="E28" i="7" s="1"/>
  <c r="B28" i="7"/>
  <c r="C27" i="7"/>
  <c r="E27" i="7" s="1"/>
  <c r="B27" i="7"/>
  <c r="C26" i="7"/>
  <c r="E26" i="7" s="1"/>
  <c r="B26" i="7"/>
  <c r="C21" i="7"/>
  <c r="E21" i="7" s="1"/>
  <c r="B21" i="7"/>
  <c r="E20" i="7"/>
  <c r="C20" i="7"/>
  <c r="B20" i="7"/>
  <c r="C19" i="7"/>
  <c r="E19" i="7" s="1"/>
  <c r="B19" i="7"/>
  <c r="C18" i="7"/>
  <c r="E18" i="7" s="1"/>
  <c r="B18" i="7"/>
  <c r="C17" i="7"/>
  <c r="E17" i="7" s="1"/>
  <c r="B17" i="7"/>
  <c r="C16" i="7"/>
  <c r="E16" i="7" s="1"/>
  <c r="B16" i="7"/>
  <c r="C15" i="7"/>
  <c r="E15" i="7" s="1"/>
  <c r="B15" i="7"/>
  <c r="C14" i="7"/>
  <c r="E14" i="7" s="1"/>
  <c r="B14" i="7"/>
  <c r="C13" i="7"/>
  <c r="E13" i="7" s="1"/>
  <c r="B13" i="7"/>
  <c r="C12" i="7"/>
  <c r="E12" i="7" s="1"/>
  <c r="B12" i="7"/>
  <c r="E4" i="7"/>
  <c r="A1" i="7"/>
  <c r="A65" i="6"/>
  <c r="E48" i="6"/>
  <c r="E47" i="6"/>
  <c r="D47" i="6"/>
  <c r="B47" i="6"/>
  <c r="E46" i="6"/>
  <c r="D46" i="6"/>
  <c r="B46" i="6"/>
  <c r="E45" i="6"/>
  <c r="D45" i="6"/>
  <c r="B45" i="6"/>
  <c r="E44" i="6"/>
  <c r="D44" i="6"/>
  <c r="B44" i="6"/>
  <c r="C30" i="6"/>
  <c r="E30" i="6" s="1"/>
  <c r="B30" i="6"/>
  <c r="C29" i="6"/>
  <c r="E29" i="6" s="1"/>
  <c r="B29" i="6"/>
  <c r="C28" i="6"/>
  <c r="E28" i="6" s="1"/>
  <c r="B28" i="6"/>
  <c r="B27" i="6"/>
  <c r="B26" i="6"/>
  <c r="C21" i="6"/>
  <c r="E21" i="6" s="1"/>
  <c r="B21" i="6"/>
  <c r="C20" i="6"/>
  <c r="E20" i="6" s="1"/>
  <c r="B20" i="6"/>
  <c r="C19" i="6"/>
  <c r="E19" i="6" s="1"/>
  <c r="B19" i="6"/>
  <c r="C18" i="6"/>
  <c r="E18" i="6" s="1"/>
  <c r="B18" i="6"/>
  <c r="C17" i="6"/>
  <c r="E17" i="6" s="1"/>
  <c r="B17" i="6"/>
  <c r="C16" i="6"/>
  <c r="E16" i="6" s="1"/>
  <c r="B16" i="6"/>
  <c r="C15" i="6"/>
  <c r="E15" i="6" s="1"/>
  <c r="B15" i="6"/>
  <c r="B14" i="6"/>
  <c r="B13" i="6"/>
  <c r="B12" i="6"/>
  <c r="E4" i="6"/>
  <c r="A1" i="6"/>
  <c r="A65" i="5"/>
  <c r="E48" i="5"/>
  <c r="E47" i="5"/>
  <c r="D47" i="5"/>
  <c r="B47" i="5"/>
  <c r="E46" i="5"/>
  <c r="D46" i="5"/>
  <c r="B46" i="5"/>
  <c r="E45" i="5"/>
  <c r="D45" i="5"/>
  <c r="B45" i="5"/>
  <c r="E44" i="5"/>
  <c r="D44" i="5"/>
  <c r="B44" i="5"/>
  <c r="C30" i="5"/>
  <c r="E30" i="5" s="1"/>
  <c r="B30" i="5"/>
  <c r="C29" i="5"/>
  <c r="E29" i="5" s="1"/>
  <c r="B29" i="5"/>
  <c r="C28" i="5"/>
  <c r="E28" i="5" s="1"/>
  <c r="B28" i="5"/>
  <c r="C27" i="5"/>
  <c r="E27" i="5" s="1"/>
  <c r="B27" i="5"/>
  <c r="B26" i="5"/>
  <c r="E21" i="5"/>
  <c r="C21" i="5"/>
  <c r="B21" i="5"/>
  <c r="C20" i="5"/>
  <c r="E20" i="5" s="1"/>
  <c r="B20" i="5"/>
  <c r="E19" i="5"/>
  <c r="C19" i="5"/>
  <c r="B19" i="5"/>
  <c r="C18" i="5"/>
  <c r="E18" i="5" s="1"/>
  <c r="B18" i="5"/>
  <c r="C17" i="5"/>
  <c r="E17" i="5" s="1"/>
  <c r="B17" i="5"/>
  <c r="E16" i="5"/>
  <c r="C16" i="5"/>
  <c r="B16" i="5"/>
  <c r="B15" i="5"/>
  <c r="C14" i="5"/>
  <c r="E14" i="5" s="1"/>
  <c r="B14" i="5"/>
  <c r="B13" i="5"/>
  <c r="B12" i="5"/>
  <c r="E4" i="5"/>
  <c r="A1" i="5"/>
  <c r="A65" i="4"/>
  <c r="E48" i="4"/>
  <c r="E47" i="4"/>
  <c r="D47" i="4"/>
  <c r="B47" i="4"/>
  <c r="E46" i="4"/>
  <c r="D46" i="4"/>
  <c r="B46" i="4"/>
  <c r="E45" i="4"/>
  <c r="D45" i="4"/>
  <c r="B45" i="4"/>
  <c r="E44" i="4"/>
  <c r="D44" i="4"/>
  <c r="B44" i="4"/>
  <c r="C30" i="4"/>
  <c r="E30" i="4" s="1"/>
  <c r="B30" i="4"/>
  <c r="C29" i="4"/>
  <c r="E29" i="4" s="1"/>
  <c r="B29" i="4"/>
  <c r="E28" i="4"/>
  <c r="C28" i="4"/>
  <c r="B28" i="4"/>
  <c r="C27" i="4"/>
  <c r="E27" i="4" s="1"/>
  <c r="B27" i="4"/>
  <c r="C26" i="4"/>
  <c r="E26" i="4" s="1"/>
  <c r="B26" i="4"/>
  <c r="E21" i="4"/>
  <c r="C21" i="4"/>
  <c r="B21" i="4"/>
  <c r="C20" i="4"/>
  <c r="E20" i="4" s="1"/>
  <c r="B20" i="4"/>
  <c r="C19" i="4"/>
  <c r="E19" i="4" s="1"/>
  <c r="B19" i="4"/>
  <c r="C18" i="4"/>
  <c r="E18" i="4" s="1"/>
  <c r="B18" i="4"/>
  <c r="C17" i="4"/>
  <c r="E17" i="4" s="1"/>
  <c r="B17" i="4"/>
  <c r="C16" i="4"/>
  <c r="E16" i="4" s="1"/>
  <c r="B16" i="4"/>
  <c r="B15" i="4"/>
  <c r="C14" i="4"/>
  <c r="E14" i="4" s="1"/>
  <c r="B14" i="4"/>
  <c r="B13" i="4"/>
  <c r="B12" i="4"/>
  <c r="E4" i="4"/>
  <c r="A1" i="4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C27" i="6" s="1"/>
  <c r="E27" i="6" s="1"/>
  <c r="E19" i="3"/>
  <c r="C26" i="6" s="1"/>
  <c r="E18" i="3"/>
  <c r="C14" i="6" s="1"/>
  <c r="E14" i="6" s="1"/>
  <c r="E17" i="3"/>
  <c r="C13" i="6" s="1"/>
  <c r="E13" i="6" s="1"/>
  <c r="E16" i="3"/>
  <c r="C12" i="6" s="1"/>
  <c r="E15" i="3"/>
  <c r="C26" i="5" s="1"/>
  <c r="E14" i="3"/>
  <c r="C15" i="5" s="1"/>
  <c r="E15" i="5" s="1"/>
  <c r="E13" i="3"/>
  <c r="E12" i="3"/>
  <c r="C13" i="5" s="1"/>
  <c r="E13" i="5" s="1"/>
  <c r="E11" i="3"/>
  <c r="C12" i="5" s="1"/>
  <c r="E10" i="3"/>
  <c r="E9" i="3"/>
  <c r="E8" i="3"/>
  <c r="C15" i="4" s="1"/>
  <c r="E15" i="4" s="1"/>
  <c r="E7" i="3"/>
  <c r="E6" i="3"/>
  <c r="C13" i="4" s="1"/>
  <c r="E13" i="4" s="1"/>
  <c r="E5" i="3"/>
  <c r="C12" i="4" s="1"/>
  <c r="B41" i="2"/>
  <c r="C35" i="2"/>
  <c r="C34" i="2"/>
  <c r="C60" i="6" s="1"/>
  <c r="C19" i="2"/>
  <c r="C20" i="2" s="1"/>
  <c r="D14" i="2"/>
  <c r="C14" i="2"/>
  <c r="B37" i="6" s="1"/>
  <c r="D9" i="2"/>
  <c r="C9" i="2"/>
  <c r="C10" i="2" s="1"/>
  <c r="C49" i="4" l="1"/>
  <c r="E31" i="7"/>
  <c r="B35" i="7" s="1"/>
  <c r="A32" i="4"/>
  <c r="C56" i="4"/>
  <c r="A32" i="7"/>
  <c r="C45" i="4"/>
  <c r="A23" i="7"/>
  <c r="E26" i="6"/>
  <c r="E31" i="6" s="1"/>
  <c r="B35" i="6" s="1"/>
  <c r="A32" i="6"/>
  <c r="E22" i="7"/>
  <c r="E12" i="5"/>
  <c r="E22" i="5" s="1"/>
  <c r="A23" i="5"/>
  <c r="E26" i="5"/>
  <c r="E31" i="5" s="1"/>
  <c r="B35" i="5" s="1"/>
  <c r="A32" i="5"/>
  <c r="E12" i="6"/>
  <c r="E22" i="6" s="1"/>
  <c r="A23" i="6"/>
  <c r="E12" i="4"/>
  <c r="E22" i="4" s="1"/>
  <c r="A23" i="4"/>
  <c r="B36" i="6"/>
  <c r="B36" i="4"/>
  <c r="B36" i="5"/>
  <c r="B48" i="6"/>
  <c r="D48" i="4"/>
  <c r="B48" i="4"/>
  <c r="D48" i="7"/>
  <c r="B48" i="7"/>
  <c r="D48" i="5"/>
  <c r="B48" i="5"/>
  <c r="D48" i="6"/>
  <c r="E31" i="4"/>
  <c r="B35" i="4" s="1"/>
  <c r="C58" i="7"/>
  <c r="C62" i="7"/>
  <c r="C47" i="5"/>
  <c r="C46" i="7"/>
  <c r="C50" i="7"/>
  <c r="B37" i="5"/>
  <c r="C63" i="5"/>
  <c r="C58" i="4"/>
  <c r="C62" i="4"/>
  <c r="C57" i="6"/>
  <c r="C61" i="6"/>
  <c r="C45" i="6"/>
  <c r="C49" i="6"/>
  <c r="C44" i="6"/>
  <c r="C48" i="6"/>
  <c r="C59" i="5"/>
  <c r="C46" i="4"/>
  <c r="C50" i="4"/>
  <c r="C56" i="5"/>
  <c r="C60" i="5"/>
  <c r="B37" i="7"/>
  <c r="C59" i="7"/>
  <c r="C63" i="7"/>
  <c r="C47" i="7"/>
  <c r="C58" i="6"/>
  <c r="C62" i="6"/>
  <c r="C44" i="5"/>
  <c r="B37" i="4"/>
  <c r="C59" i="4"/>
  <c r="C63" i="4"/>
  <c r="C47" i="4"/>
  <c r="C46" i="6"/>
  <c r="C50" i="6"/>
  <c r="C57" i="5"/>
  <c r="C61" i="5"/>
  <c r="C56" i="7"/>
  <c r="C60" i="7"/>
  <c r="C48" i="5"/>
  <c r="C45" i="5"/>
  <c r="C49" i="5"/>
  <c r="C44" i="7"/>
  <c r="C48" i="7"/>
  <c r="C60" i="4"/>
  <c r="C59" i="6"/>
  <c r="C63" i="6"/>
  <c r="C47" i="6"/>
  <c r="C58" i="5"/>
  <c r="C62" i="5"/>
  <c r="C57" i="7"/>
  <c r="C61" i="7"/>
  <c r="C44" i="4"/>
  <c r="C46" i="5"/>
  <c r="C50" i="5"/>
  <c r="C45" i="7"/>
  <c r="C49" i="7"/>
  <c r="C48" i="4"/>
  <c r="C57" i="4"/>
  <c r="C61" i="4"/>
  <c r="C56" i="6"/>
  <c r="G6" i="8" l="1"/>
  <c r="B34" i="5"/>
  <c r="B38" i="5" s="1"/>
  <c r="S6" i="8"/>
  <c r="C6" i="8"/>
  <c r="N6" i="8"/>
  <c r="S7" i="8"/>
  <c r="N7" i="8"/>
  <c r="B34" i="6"/>
  <c r="B38" i="6" s="1"/>
  <c r="B49" i="6" s="1"/>
  <c r="E7" i="8" s="1"/>
  <c r="G7" i="8"/>
  <c r="S8" i="8"/>
  <c r="C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B34" i="7"/>
  <c r="B38" i="7" s="1"/>
  <c r="D8" i="8"/>
  <c r="G5" i="8"/>
  <c r="S5" i="8"/>
  <c r="N5" i="8"/>
  <c r="B34" i="4"/>
  <c r="B38" i="4" s="1"/>
  <c r="C5" i="8" s="1"/>
  <c r="B49" i="5"/>
  <c r="E6" i="8" s="1"/>
  <c r="D49" i="5"/>
  <c r="C7" i="8" l="1"/>
  <c r="D49" i="6"/>
  <c r="B49" i="4"/>
  <c r="E5" i="8" s="1"/>
  <c r="B39" i="7"/>
  <c r="B40" i="7" s="1"/>
  <c r="E49" i="7"/>
  <c r="B39" i="5"/>
  <c r="B40" i="5" s="1"/>
  <c r="E49" i="5"/>
  <c r="B39" i="4"/>
  <c r="B40" i="4" s="1"/>
  <c r="E49" i="4"/>
  <c r="D49" i="7"/>
  <c r="B49" i="7"/>
  <c r="D49" i="4"/>
  <c r="B39" i="6"/>
  <c r="B40" i="6" s="1"/>
  <c r="E49" i="6"/>
  <c r="E53" i="6" l="1"/>
  <c r="L7" i="8" s="1"/>
  <c r="B50" i="6"/>
  <c r="D50" i="6"/>
  <c r="D7" i="8"/>
  <c r="E53" i="4"/>
  <c r="L5" i="8" s="1"/>
  <c r="D50" i="4"/>
  <c r="B50" i="4"/>
  <c r="D5" i="8"/>
  <c r="E53" i="5"/>
  <c r="L6" i="8" s="1"/>
  <c r="D50" i="5"/>
  <c r="B50" i="5"/>
  <c r="D6" i="8"/>
  <c r="E53" i="7"/>
  <c r="B50" i="7"/>
  <c r="D50" i="7"/>
  <c r="E52" i="5"/>
  <c r="K6" i="8" s="1"/>
  <c r="E52" i="7"/>
  <c r="E52" i="6"/>
  <c r="K7" i="8" s="1"/>
  <c r="E52" i="4"/>
  <c r="K5" i="8" s="1"/>
  <c r="D56" i="5" l="1"/>
  <c r="H6" i="8"/>
  <c r="D56" i="4"/>
  <c r="H5" i="8"/>
  <c r="B56" i="7"/>
  <c r="E51" i="7"/>
  <c r="E50" i="7"/>
  <c r="E50" i="5"/>
  <c r="B56" i="5"/>
  <c r="E51" i="5"/>
  <c r="J6" i="8" s="1"/>
  <c r="F6" i="8"/>
  <c r="B56" i="4"/>
  <c r="E50" i="4"/>
  <c r="E51" i="4"/>
  <c r="J5" i="8" s="1"/>
  <c r="F5" i="8"/>
  <c r="D56" i="7"/>
  <c r="B56" i="6"/>
  <c r="E51" i="6"/>
  <c r="J7" i="8" s="1"/>
  <c r="E50" i="6"/>
  <c r="F7" i="8"/>
  <c r="D56" i="6"/>
  <c r="H7" i="8"/>
  <c r="B58" i="5" l="1"/>
  <c r="B57" i="5"/>
  <c r="B59" i="5"/>
  <c r="B60" i="5"/>
  <c r="E56" i="5"/>
  <c r="I6" i="8"/>
  <c r="E63" i="5"/>
  <c r="R6" i="8" s="1"/>
  <c r="D58" i="6"/>
  <c r="D60" i="6"/>
  <c r="D57" i="6"/>
  <c r="D59" i="6"/>
  <c r="D57" i="7"/>
  <c r="D60" i="7"/>
  <c r="D58" i="7"/>
  <c r="D59" i="7"/>
  <c r="E56" i="7"/>
  <c r="E63" i="7"/>
  <c r="E56" i="4"/>
  <c r="I5" i="8"/>
  <c r="E63" i="4"/>
  <c r="R5" i="8" s="1"/>
  <c r="B57" i="4"/>
  <c r="B60" i="4"/>
  <c r="B59" i="4"/>
  <c r="B58" i="4"/>
  <c r="B61" i="4" s="1"/>
  <c r="E56" i="6"/>
  <c r="I7" i="8"/>
  <c r="E63" i="6"/>
  <c r="R7" i="8" s="1"/>
  <c r="B60" i="6"/>
  <c r="B58" i="6"/>
  <c r="B57" i="6"/>
  <c r="B61" i="6" s="1"/>
  <c r="B59" i="6"/>
  <c r="B58" i="7"/>
  <c r="B57" i="7"/>
  <c r="B60" i="7"/>
  <c r="B59" i="7"/>
  <c r="D60" i="4"/>
  <c r="D57" i="4"/>
  <c r="D58" i="4"/>
  <c r="D59" i="4"/>
  <c r="D61" i="4" s="1"/>
  <c r="D58" i="5"/>
  <c r="D57" i="5"/>
  <c r="D60" i="5"/>
  <c r="D59" i="5"/>
  <c r="D61" i="5" l="1"/>
  <c r="B61" i="5"/>
  <c r="D61" i="7"/>
  <c r="D61" i="6"/>
  <c r="B61" i="7"/>
  <c r="D62" i="7"/>
  <c r="D63" i="7"/>
  <c r="D62" i="6"/>
  <c r="O7" i="8"/>
  <c r="D63" i="6"/>
  <c r="B62" i="4"/>
  <c r="M5" i="8"/>
  <c r="B63" i="4"/>
  <c r="B62" i="6"/>
  <c r="M7" i="8"/>
  <c r="B63" i="6"/>
  <c r="D62" i="5"/>
  <c r="O6" i="8"/>
  <c r="D63" i="5"/>
  <c r="D62" i="4"/>
  <c r="O5" i="8"/>
  <c r="D63" i="4"/>
  <c r="B62" i="5"/>
  <c r="M6" i="8"/>
  <c r="B63" i="5"/>
  <c r="B62" i="7"/>
  <c r="B63" i="7"/>
  <c r="E58" i="5"/>
  <c r="E57" i="5"/>
  <c r="E61" i="5" s="1"/>
  <c r="E60" i="5"/>
  <c r="E59" i="5"/>
  <c r="E57" i="7"/>
  <c r="E61" i="7" s="1"/>
  <c r="E62" i="7" s="1"/>
  <c r="E60" i="7"/>
  <c r="E58" i="7"/>
  <c r="E59" i="7"/>
  <c r="E59" i="6"/>
  <c r="E58" i="6"/>
  <c r="E57" i="6"/>
  <c r="E60" i="6"/>
  <c r="E60" i="4"/>
  <c r="E58" i="4"/>
  <c r="E57" i="4"/>
  <c r="E59" i="4"/>
  <c r="E61" i="6" l="1"/>
  <c r="E61" i="4"/>
  <c r="E62" i="5"/>
  <c r="Q6" i="8" s="1"/>
  <c r="P6" i="8"/>
  <c r="E62" i="4"/>
  <c r="Q5" i="8" s="1"/>
  <c r="P5" i="8"/>
  <c r="E62" i="6"/>
  <c r="Q7" i="8" s="1"/>
  <c r="P7" i="8"/>
</calcChain>
</file>

<file path=xl/sharedStrings.xml><?xml version="1.0" encoding="utf-8"?>
<sst xmlns="http://schemas.openxmlformats.org/spreadsheetml/2006/main" count="464" uniqueCount="238">
  <si>
    <t>Prix d'Atelier : calcul du prix de revient et du prix de vente</t>
  </si>
  <si>
    <t>Modèle gratuit pour créateurs fait main : bougies, bijoux, pâtisserie, impression 3D, couture…</t>
  </si>
  <si>
    <t>À quoi sert ce fichier ?</t>
  </si>
  <si>
    <t>Il calcule ce que vous coûte réellement chaque produit (matières, perte, emballage, temps, frais fixes),</t>
  </si>
  <si>
    <t>puis le prix minimum, le prix conseillé et ce qui vous reste par vente en vente directe, sur Etsy,</t>
  </si>
  <si>
    <t>en dépôt-vente et en vente en gros (avec un prix public conseillé pour la boutique).</t>
  </si>
  <si>
    <t>Les 4 étapes</t>
  </si>
  <si>
    <t>1. Paramètres : votre tarif horaire, vos frais fixes, vos taux de cotisations, la TVA et les frais de chaque canal.</t>
  </si>
  <si>
    <t>2. Matières : listez vos fournitures avec le prix et la quantité du lot ; le coût unitaire se calcule seul.</t>
  </si>
  <si>
    <t>3. Fiches produit : choisissez les matières dans la liste déroulante, indiquez les quantités, le temps,</t>
  </si>
  <si>
    <t xml:space="preserve">    le taux de perte et le bénéfice visé. Les prix par canal s'affichent en bas de la fiche.</t>
  </si>
  <si>
    <t>4. Synthèse : comparez tous vos produits d'un coup d'œil.</t>
  </si>
  <si>
    <t>Les trois premières fiches sont des exemples : remplacez-les par vos produits. La fiche 4 est vierge.</t>
  </si>
  <si>
    <t>Pour un 5e produit : clic droit sur l'onglet Fiche 4 &gt; Déplacer ou copier &gt; Créer une copie.</t>
  </si>
  <si>
    <t xml:space="preserve">    La Synthèse ne l'intègre pas automatiquement.</t>
  </si>
  <si>
    <t>Légende des couleurs</t>
  </si>
  <si>
    <t>Cellule jaune : à remplir par vous.</t>
  </si>
  <si>
    <t>Cellule grise : calculée automatiquement (protégée).</t>
  </si>
  <si>
    <t>Cellule verte : résultat important (protégé).</t>
  </si>
  <si>
    <t>Cellule rouge : alerte (par exemple, prix de gros sous le prix minimum).</t>
  </si>
  <si>
    <t>Alerte gros : à ce prix de gros, vous perdez de l'argent sur chaque vente en boutique. Pour vendre en</t>
  </si>
  <si>
    <t xml:space="preserve">    boutique, votre prix public doit monter au niveau de la ligne 52 (sans perte) ou 53 (bénéfice visé).</t>
  </si>
  <si>
    <t>Alerte matière : une matière choisie n'a pas de coût (prix ou quantité du lot manquant, nom modifié) : elle compte 0 €.</t>
  </si>
  <si>
    <t>Les feuilles sont protégées sans mot de passe : Révision &gt; Ôter la protection de la feuille pour tout modifier.</t>
  </si>
  <si>
    <t>Comment les prix sont calculés</t>
  </si>
  <si>
    <t>Coût de revient = matières ÷ (1 − perte) + emballage + minutes ÷ 60 × tarif horaire + frais fixes ÷ ventes par mois.</t>
  </si>
  <si>
    <t>Net visé = coût de revient × (1 + bénéfice visé %).</t>
  </si>
  <si>
    <t>Cotisations et commissions se calculent sur ce que paie l'acheteur (prix + livraison facturée), pas sur le coût.</t>
  </si>
  <si>
    <t>Les frais Etsy ne se déduisent pas de l'assiette des cotisations (Urssaf). D'où :</t>
  </si>
  <si>
    <t>Prix = (net visé + frais fixes du canal + envoi réel) ÷ ((1 − cotisations) ÷ (1 + TVA) − frais en %) − livraison facturée.</t>
  </si>
  <si>
    <t>Prix minimum : même formule avec un bénéfice nul.</t>
  </si>
  <si>
    <t>Gros : prix public conseillé = votre prix conseillé en vente directe (ne vendez pas moins cher que vos revendeurs).</t>
  </si>
  <si>
    <t xml:space="preserve">    Prix de gros HT = prix public TTC ÷ coefficient boutique (sans TVA, TTC = HT). Alerte si le prix de gros est sous coût ÷ (1 − cotisations).</t>
  </si>
  <si>
    <t xml:space="preserve">    La fiche indique aussi le prix public nécessaire pour vendre en boutique sans perte, et celui qui garde votre bénéfice visé.</t>
  </si>
  <si>
    <t>Limites : à lire</t>
  </si>
  <si>
    <t>Les taux de cotisations et de frais sont à vérifier et à saisir par vous. Les valeurs fournies sont des exemples.</t>
  </si>
  <si>
    <t>Frais Etsy : cellules vides, à remplir avec votre relevé Etsy (exemples du 25/09/2026 dans la colonne Aide, non vérifiés depuis). Tant qu'elles sont vides, la colonne Etsy affiche « À renseigner ».</t>
  </si>
  <si>
    <t>Coefficient boutique, dépôt-vente : sources secondaires, à vérifier.</t>
  </si>
  <si>
    <t>Taux de cotisations : consultez autoentrepreneur.urssaf.fr. Ce fichier n'est pas un conseil fiscal ou comptable.</t>
  </si>
  <si>
    <t>Frais de livraison : seuls pris en compte sur Etsy (livraison facturée et coût d'envoi réel, par fiche).</t>
  </si>
  <si>
    <t>Aucune macro. Compatible Excel, LibreOffice et Google Sheets (à l'import).</t>
  </si>
  <si>
    <t>Paramètres communs à tous les produits</t>
  </si>
  <si>
    <t>Cellules jaunes : à remplir. Cellules grises ou vertes : calculées automatiquement (protégées).</t>
  </si>
  <si>
    <t>Paramètre</t>
  </si>
  <si>
    <t>Valeur</t>
  </si>
  <si>
    <t>Aide</t>
  </si>
  <si>
    <t>1. Votre temps</t>
  </si>
  <si>
    <t>Méthode du tarif horaire</t>
  </si>
  <si>
    <t>Déduit</t>
  </si>
  <si>
    <t>« Saisi » : le tarif ci-dessous. « Déduit » : revenu visé ÷ heures productives.</t>
  </si>
  <si>
    <t>Tarif horaire saisi (€/h)</t>
  </si>
  <si>
    <t>Utilisé si la méthode est « Saisi ».</t>
  </si>
  <si>
    <t>Revenu net mensuel visé (€)</t>
  </si>
  <si>
    <t>Ce que vous voulez gagner par mois pour votre travail.</t>
  </si>
  <si>
    <t>Heures productives par mois (h)</t>
  </si>
  <si>
    <t>Heures réellement passées à fabriquer (hors administratif, photos, marchés…).</t>
  </si>
  <si>
    <t>Tarif horaire déduit (€/h)</t>
  </si>
  <si>
    <t>Tarif horaire retenu (€/h)</t>
  </si>
  <si>
    <t>2. Frais fixes</t>
  </si>
  <si>
    <t>Frais fixes mensuels (€)</t>
  </si>
  <si>
    <t>Site, stand, matériel, assurance, banque, abonnements…</t>
  </si>
  <si>
    <t>Produits vendus par mois</t>
  </si>
  <si>
    <t>Nombre moyen de produits vendus par mois, tous produits confondus.</t>
  </si>
  <si>
    <t>Part de frais fixes par produit (€)</t>
  </si>
  <si>
    <t>3. Cotisations et TVA (à vérifier et à saisir par vous)</t>
  </si>
  <si>
    <t>Taux de cotisations sociales (% du chiffre d'affaires)</t>
  </si>
  <si>
    <t>12,3 % : vente de vos créations en micro-entreprise, 2026 (Urssaf, vérifié le 25/09/2026). 21,2 % pour les prestations artisanales ; + CFP, versement libératoire… Calculé sur prix + livraison facturée, frais Etsy non déduits.</t>
  </si>
  <si>
    <t>Facturez-vous la TVA (hors franchise en base) ?</t>
  </si>
  <si>
    <t>Non</t>
  </si>
  <si>
    <t>« Non » = franchise en base de TVA : « TVA non applicable, art. 293 B du CGI ».</t>
  </si>
  <si>
    <t>Taux de TVA si vous la facturez</t>
  </si>
  <si>
    <t>Utilisé seulement si la réponse est « Oui ».</t>
  </si>
  <si>
    <t>Taux de TVA appliqué</t>
  </si>
  <si>
    <t>Part du prix TTC qui reste après TVA et cotisations</t>
  </si>
  <si>
    <t>Calcul : (1 − cotisations) ÷ (1 + TVA)</t>
  </si>
  <si>
    <t>4. Vente directe (marchés, atelier, site perso)</t>
  </si>
  <si>
    <t>Frais de paiement (% du prix)</t>
  </si>
  <si>
    <t>Ex. terminal de paiement : environ 1,75 %.</t>
  </si>
  <si>
    <t>Frais de paiement fixes par vente (€)</t>
  </si>
  <si>
    <t>Laissez 0 si vous n'en avez pas.</t>
  </si>
  <si>
    <t>5. Etsy (cellules VIDES : à remplir avec les frais de votre relevé Etsy, hors TVA ; page officielle : etsy.com/fr/legal/fees)</t>
  </si>
  <si>
    <t>Frais de mise en vente (USD par vente)</t>
  </si>
  <si>
    <t>À remplir. Exemple du 25/09/2026 (non vérifié depuis) : 0,20 $ par annonce.</t>
  </si>
  <si>
    <t>Taux de conversion : 1 USD = … EUR</t>
  </si>
  <si>
    <t>À remplir (valeur d'un dollar en euros). Exemple du 25/09/2026 (cours BCE) : 0,8770 €.</t>
  </si>
  <si>
    <t>Frais de transaction (% prix + livraison)</t>
  </si>
  <si>
    <t>À remplir. Exemple du 25/09/2026 (non vérifié depuis) : 6,5 % du prix + livraison.</t>
  </si>
  <si>
    <t>Frais de traitement du paiement (%)</t>
  </si>
  <si>
    <t>À remplir. Exemple du 25/09/2026 (non vérifié depuis) : 4 % du total de la commande, livraison comprise.</t>
  </si>
  <si>
    <t>Frais de traitement du paiement fixes (€)</t>
  </si>
  <si>
    <t>À remplir. Exemple du 25/09/2026 (non vérifié depuis) : 0,30 € par commande.</t>
  </si>
  <si>
    <t>Frais réglementaires (%)</t>
  </si>
  <si>
    <t>À remplir : ce pourcentage dépend du pays de la boutique. Exemple du 25/09/2026 pour la France (non vérifié depuis) : 1,14 %.</t>
  </si>
  <si>
    <t>Annonce dans une autre devise que l'euro ?</t>
  </si>
  <si>
    <t>« Non » : aucun frais de conversion pour une annonce en euros sur un compte en euros.</t>
  </si>
  <si>
    <t>Frais de conversion de devise (%)</t>
  </si>
  <si>
    <t>À remplir seulement si l'annonce n'est pas en euros. Exemple du 25/09/2026 (non vérifié depuis) : 2,5 % du prix + livraison.</t>
  </si>
  <si>
    <t>TVA facturée par Etsy sur ses frais</t>
  </si>
  <si>
    <t>Regardez votre relevé Etsy : s'il comporte de la TVA sur les frais, saisissez son taux ici (vide = 0).</t>
  </si>
  <si>
    <t>Total des frais Etsy en % (TVA sur frais incluse)</t>
  </si>
  <si>
    <t>S'applique au prix TTC de l'article + livraison facturée. « À renseigner » tant que les frais Etsy ci-dessus sont vides : aucun prix Etsy n'est calculé avec des frais vides.</t>
  </si>
  <si>
    <t>Total des frais Etsy fixes par vente (€, TVA incluse)</t>
  </si>
  <si>
    <t>6. Dépôt-vente</t>
  </si>
  <si>
    <t>Commission du dépôt-vente (% du prix TTC)</t>
  </si>
  <si>
    <t>30 % : valeur typique (source secondaire, 2026), de 25 à 50 % selon la boutique.</t>
  </si>
  <si>
    <t>7. Vente en gros (prix public conseillé = votre prix conseillé en vente directe)</t>
  </si>
  <si>
    <t>Coefficient boutique (prix public TTC ÷ prix de gros HT)</t>
  </si>
  <si>
    <t>Prix de gros HT = prix public TTC ÷ coefficient. 2 à 2,5 selon la boutique (source secondaire, à vérifier).</t>
  </si>
  <si>
    <t>Frais Etsy : aucune valeur n'est préremplie. Les exemples de la colonne Aide ont été relevés le 25/09/2026 sur les pages publiques d'Etsy et n'ont pas été vérifiés depuis ; la page officielle (etsy.com/fr/legal/fees) et votre relevé de paiement font foi.</t>
  </si>
  <si>
    <t>Bibliothèque de matières, emballages et consommables</t>
  </si>
  <si>
    <t>Une ligne par fourniture achetée en lot. Le coût unitaire est calculé : prix du lot ÷ quantité du lot. Les noms apparaissent ensuite dans les listes déroulantes des fiches produit (noms uniques).</t>
  </si>
  <si>
    <t>Nom (unique)</t>
  </si>
  <si>
    <t>Prix du lot (€)</t>
  </si>
  <si>
    <t>Quantité du lot</t>
  </si>
  <si>
    <t>Unité</t>
  </si>
  <si>
    <t>Coût unitaire (€)</t>
  </si>
  <si>
    <t>Fournisseur / note</t>
  </si>
  <si>
    <t>Cire de soja</t>
  </si>
  <si>
    <t>g</t>
  </si>
  <si>
    <t>9 €/kg port compris (estimé ; 7,99 €/kg par 1 kg chez Smellingood)</t>
  </si>
  <si>
    <t>Parfum pour bougie</t>
  </si>
  <si>
    <t>80 €/kg (estimé ; 82 à 150 €/L chez Smellingood). 8 % du poids de cire</t>
  </si>
  <si>
    <t>Mèche coton</t>
  </si>
  <si>
    <t>pièce</t>
  </si>
  <si>
    <t>Lot de 50 (Smellingood)</t>
  </si>
  <si>
    <t>Pot en verre 200 ml</t>
  </si>
  <si>
    <t>Lot de 6 (Smellingood)</t>
  </si>
  <si>
    <t>Étiquette (dont CLP)</t>
  </si>
  <si>
    <t>Source secondaire, 0,05 à 0,40 €</t>
  </si>
  <si>
    <t>Emballage d'expédition</t>
  </si>
  <si>
    <t>Option (source secondaire)</t>
  </si>
  <si>
    <t>Chaîne acier inox forçat 1,9 mm</t>
  </si>
  <si>
    <t>cm</t>
  </si>
  <si>
    <t>1 m (Perles &amp; Co)</t>
  </si>
  <si>
    <t>Fermoir mousqueton acier inox 13 mm</t>
  </si>
  <si>
    <t>Lot de 100 (Perles &amp; Co)</t>
  </si>
  <si>
    <t>Anneaux ouverts acier inox 5 mm</t>
  </si>
  <si>
    <t>Perles Miyuki Delica 11/0</t>
  </si>
  <si>
    <t>Sachet de 8 g (Perles &amp; Co, 3,20 à 5,60 €)</t>
  </si>
  <si>
    <t>Pochette et carte bijou</t>
  </si>
  <si>
    <t>Estimé</t>
  </si>
  <si>
    <t>Filament PLA</t>
  </si>
  <si>
    <t>Bobine de 1 kg (11,04 à 24,99 € ; Bambu Lab, Prusa)</t>
  </si>
  <si>
    <t>Électricité</t>
  </si>
  <si>
    <t>kWh</t>
  </si>
  <si>
    <t>EDF Tarif Bleu Base 3-6 kVA TTC depuis le 01/08/2026 ; kWh = heures × puissance (kW)</t>
  </si>
  <si>
    <t>Amortissement imprimante 3D</t>
  </si>
  <si>
    <t>heure</t>
  </si>
  <si>
    <t>Bambu Lab A1 369 € ÷ 4 000 h (durée de vie estimée)</t>
  </si>
  <si>
    <t>Boîte kraft</t>
  </si>
  <si>
    <t>Exemple (hypothèse)</t>
  </si>
  <si>
    <t>Papier de soie</t>
  </si>
  <si>
    <t>feuille</t>
  </si>
  <si>
    <t>Nom du produit</t>
  </si>
  <si>
    <t>Bougie parfumée en pot 200 ml</t>
  </si>
  <si>
    <t>Bénéfice visé (% du coût de revient)</t>
  </si>
  <si>
    <t>Coefficient équivalent = 1 + % :</t>
  </si>
  <si>
    <t>Taux de perte ou d'échec (sur les matières)</t>
  </si>
  <si>
    <t>Matières ÷ (1 − perte). Strictement inférieur à 100 %.</t>
  </si>
  <si>
    <t>Temps de fabrication par produit (minutes)</t>
  </si>
  <si>
    <t>Multiplié par le tarif horaire des Paramètres.</t>
  </si>
  <si>
    <t>Livraison facturée au client (Etsy, €)</t>
  </si>
  <si>
    <t>Payé par l'acheteur pour la livraison (soumis aux frais Etsy et aux cotisations).</t>
  </si>
  <si>
    <t>Coût d'envoi réel (Etsy, €)</t>
  </si>
  <si>
    <t>Ce que l'envoi vous coûte réellement (timbre, transporteur).</t>
  </si>
  <si>
    <t>Matières utilisées (choisissez dans la liste, issue de l'onglet Matières)</t>
  </si>
  <si>
    <t>Matière</t>
  </si>
  <si>
    <t>Coût unitaire</t>
  </si>
  <si>
    <t>Quantité utilisée</t>
  </si>
  <si>
    <t>Coût</t>
  </si>
  <si>
    <t>Total matières (avant perte)</t>
  </si>
  <si>
    <t>Emballage et consommables</t>
  </si>
  <si>
    <t>Emballage / consommable</t>
  </si>
  <si>
    <t>Total emballage</t>
  </si>
  <si>
    <t>Coût de revient par produit</t>
  </si>
  <si>
    <t>Matières, perte incluse</t>
  </si>
  <si>
    <t>Calcul : total matières ÷ (1 − perte)</t>
  </si>
  <si>
    <t>Main-d'œuvre</t>
  </si>
  <si>
    <t>Calcul : minutes ÷ 60 × tarif horaire</t>
  </si>
  <si>
    <t>Part des frais fixes</t>
  </si>
  <si>
    <t>Calcul : frais fixes mensuels ÷ produits vendus par mois</t>
  </si>
  <si>
    <t>COÛT DE REVIENT</t>
  </si>
  <si>
    <t>Ce que vous coûte un produit, votre temps compris.</t>
  </si>
  <si>
    <t>Bénéfice visé</t>
  </si>
  <si>
    <t>Calcul : coût de revient × bénéfice visé %</t>
  </si>
  <si>
    <t>NET VISÉ PAR VENTE</t>
  </si>
  <si>
    <t>Ce qui doit vous rester après frais, commissions, TVA et cotisations.</t>
  </si>
  <si>
    <t>Prix par canal de vente (TTC si vous facturez la TVA ; prix de gros : HT)</t>
  </si>
  <si>
    <t>Vente directe</t>
  </si>
  <si>
    <t>Etsy</t>
  </si>
  <si>
    <t>Dépôt-vente</t>
  </si>
  <si>
    <t>Gros (HT)</t>
  </si>
  <si>
    <t>Frais et commissions en % du prix</t>
  </si>
  <si>
    <t>Frais fixes du canal par vente</t>
  </si>
  <si>
    <t>Coût d'envoi réel</t>
  </si>
  <si>
    <t>Livraison facturée au client</t>
  </si>
  <si>
    <t>Part du prix qui vous reste (diviseur)</t>
  </si>
  <si>
    <t>Prix minimum (ne rien perdre)</t>
  </si>
  <si>
    <t>PRIX CONSEILLÉ (vente directe, Etsy, dépôt-vente). Gros : prix de gros HT obtenu (prix public TTC ÷ coefficient), à comparer au minimum</t>
  </si>
  <si>
    <t>Prix public conseillé en boutique (= prix conseillé en vente directe)</t>
  </si>
  <si>
    <t>Prix public nécessaire pour vendre en boutique sans perte</t>
  </si>
  <si>
    <t>Prix public pour garder votre bénéfice visé en boutique</t>
  </si>
  <si>
    <t>Détail d'une vente au prix conseillé (gros : au prix de gros)</t>
  </si>
  <si>
    <t>Encaissé (prix + livraison facturée, TTC)</t>
  </si>
  <si>
    <t>− TVA à reverser</t>
  </si>
  <si>
    <t>− Cotisations sociales (sur prix + livraison, HT)</t>
  </si>
  <si>
    <t>− Frais et commissions du canal</t>
  </si>
  <si>
    <t>− Coût d'envoi réel</t>
  </si>
  <si>
    <t>NET RESTANT PAR VENTE</t>
  </si>
  <si>
    <t>Bénéfice réel (net − coût de revient)</t>
  </si>
  <si>
    <t>Contrôle</t>
  </si>
  <si>
    <t>Formule : prix = (net visé + frais fixes du canal + envoi réel) ÷ ((1 − cotisations) ÷ (1 + TVA) − frais en %) − livraison facturée. Gros : prix public conseillé = prix conseillé en vente directe ; prix de gros HT = prix public TTC ÷ coefficient boutique. Si le prix de gros est sous le minimum, relevez votre prix public ou négociez un coefficient boutique plus bas.</t>
  </si>
  <si>
    <t>Bracelet chaîne et perles</t>
  </si>
  <si>
    <t>Figurine imprimée en 3D</t>
  </si>
  <si>
    <t>Synthèse de tous les produits</t>
  </si>
  <si>
    <t>Tableau calculé automatiquement à partir des fiches produit. Prix TTC si TVA activée ; prix de gros en HT.</t>
  </si>
  <si>
    <t>Fiche</t>
  </si>
  <si>
    <t>Produit</t>
  </si>
  <si>
    <t>Coût de revient</t>
  </si>
  <si>
    <t>Net visé</t>
  </si>
  <si>
    <t>Prix min. vente directe</t>
  </si>
  <si>
    <t>Prix conseillé vente directe</t>
  </si>
  <si>
    <t>Prix conseillé Etsy</t>
  </si>
  <si>
    <t>Prix conseillé dépôt-vente</t>
  </si>
  <si>
    <t>Prix de gros HT</t>
  </si>
  <si>
    <t>Prix public conseillé</t>
  </si>
  <si>
    <t>Prix public boutique sans perte</t>
  </si>
  <si>
    <t>Prix public boutique avec bénéfice visé</t>
  </si>
  <si>
    <t>Net restant vente directe</t>
  </si>
  <si>
    <t>Net restant Etsy</t>
  </si>
  <si>
    <t>Net restant dépôt-vente</t>
  </si>
  <si>
    <t>Net restant gros</t>
  </si>
  <si>
    <t>Bénéfice réel gros</t>
  </si>
  <si>
    <t>Alerte gros</t>
  </si>
  <si>
    <t>Fiche 1</t>
  </si>
  <si>
    <t>Fiche 2</t>
  </si>
  <si>
    <t>Fiche 3</t>
  </si>
  <si>
    <t>Fiche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</si>
</sst>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€&quot;"/>
    <numFmt numFmtId="165" formatCode="#,##0.###"/>
    <numFmt numFmtId="166" formatCode="0.00\ %"/>
    <numFmt numFmtId="167" formatCode="0.00\ &quot;$&quot;"/>
    <numFmt numFmtId="168" formatCode="0.0000"/>
    <numFmt numFmtId="169" formatCode="#,##0.0000\ &quot;€&quot;"/>
    <numFmt numFmtId="170" formatCode="#,##0.000\ &quot;€&quot;"/>
  </numFmts>
  <fonts count="7" x14ac:knownFonts="1">
    <font>
      <sz val="11"/>
      <color theme="1"/>
      <name val="Calibri"/>
      <family val="2"/>
      <scheme val="minor"/>
    </font>
    <font>
      <b/>
      <sz val="16"/>
      <color rgb="FF3B5B4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9C0006"/>
      <name val="Calibri"/>
    </font>
    <font>
      <b/>
      <sz val="12"/>
      <color rgb="FF3B5B4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B5B4F"/>
      </patternFill>
    </fill>
    <fill>
      <patternFill patternType="solid">
        <fgColor rgb="FFDCE6E1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6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0" fontId="0" fillId="4" borderId="1" xfId="0" applyFill="1" applyBorder="1" applyProtection="1">
      <protection locked="0"/>
    </xf>
    <xf numFmtId="0" fontId="2" fillId="0" borderId="0" xfId="0" applyFont="1" applyAlignment="1">
      <alignment vertical="top" wrapText="1"/>
    </xf>
    <xf numFmtId="164" fontId="0" fillId="4" borderId="1" xfId="0" applyNumberFormat="1" applyFill="1" applyBorder="1" applyProtection="1">
      <protection locked="0"/>
    </xf>
    <xf numFmtId="165" fontId="0" fillId="4" borderId="1" xfId="0" applyNumberFormat="1" applyFill="1" applyBorder="1" applyProtection="1">
      <protection locked="0"/>
    </xf>
    <xf numFmtId="164" fontId="0" fillId="5" borderId="1" xfId="0" applyNumberFormat="1" applyFill="1" applyBorder="1"/>
    <xf numFmtId="0" fontId="5" fillId="0" borderId="0" xfId="0" applyFont="1" applyAlignment="1">
      <alignment vertical="top" wrapText="1"/>
    </xf>
    <xf numFmtId="164" fontId="4" fillId="6" borderId="1" xfId="0" applyNumberFormat="1" applyFont="1" applyFill="1" applyBorder="1"/>
    <xf numFmtId="166" fontId="0" fillId="4" borderId="1" xfId="0" applyNumberFormat="1" applyFill="1" applyBorder="1" applyProtection="1">
      <protection locked="0"/>
    </xf>
    <xf numFmtId="166" fontId="0" fillId="5" borderId="1" xfId="0" applyNumberFormat="1" applyFill="1" applyBorder="1"/>
    <xf numFmtId="167" fontId="0" fillId="4" borderId="1" xfId="0" applyNumberFormat="1" applyFill="1" applyBorder="1" applyProtection="1">
      <protection locked="0"/>
    </xf>
    <xf numFmtId="168" fontId="0" fillId="4" borderId="1" xfId="0" applyNumberFormat="1" applyFill="1" applyBorder="1" applyProtection="1">
      <protection locked="0"/>
    </xf>
    <xf numFmtId="2" fontId="0" fillId="4" borderId="1" xfId="0" applyNumberFormat="1" applyFill="1" applyBorder="1" applyProtection="1">
      <protection locked="0"/>
    </xf>
    <xf numFmtId="0" fontId="4" fillId="0" borderId="0" xfId="0" applyFont="1"/>
    <xf numFmtId="0" fontId="3" fillId="2" borderId="0" xfId="0" applyFont="1" applyFill="1" applyAlignment="1">
      <alignment vertical="center" wrapText="1"/>
    </xf>
    <xf numFmtId="169" fontId="0" fillId="5" borderId="1" xfId="0" applyNumberFormat="1" applyFill="1" applyBorder="1"/>
    <xf numFmtId="2" fontId="0" fillId="5" borderId="1" xfId="0" applyNumberFormat="1" applyFill="1" applyBorder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70" fontId="0" fillId="5" borderId="1" xfId="0" applyNumberFormat="1" applyFill="1" applyBorder="1"/>
    <xf numFmtId="170" fontId="4" fillId="5" borderId="1" xfId="0" applyNumberFormat="1" applyFont="1" applyFill="1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top" wrapText="1"/>
    </xf>
    <xf numFmtId="0" fontId="4" fillId="3" borderId="0" xfId="0" applyFont="1" applyFill="1"/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10"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47"/>
  <sheetViews>
    <sheetView tabSelected="1" workbookViewId="0"/>
  </sheetViews>
  <sheetFormatPr defaultRowHeight="15" x14ac:dyDescent="0.25"/>
  <cols>
    <col min="1" max="1" width="120" customWidth="1"/>
  </cols>
  <sheetData>
    <row r="1" spans="1:1" ht="21" x14ac:dyDescent="0.35">
      <c r="A1" s="1" t="s">
        <v>0</v>
      </c>
    </row>
    <row r="2" spans="1:1" x14ac:dyDescent="0.25">
      <c r="A2" t="s">
        <v>1</v>
      </c>
    </row>
    <row r="4" spans="1:1" ht="15.75" x14ac:dyDescent="0.25">
      <c r="A4" s="2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ht="15.75" x14ac:dyDescent="0.25">
      <c r="A9" s="2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9" spans="1:1" ht="15.75" x14ac:dyDescent="0.25">
      <c r="A19" s="2" t="s">
        <v>15</v>
      </c>
    </row>
    <row r="20" spans="1:1" x14ac:dyDescent="0.25">
      <c r="A20" s="3" t="s">
        <v>16</v>
      </c>
    </row>
    <row r="21" spans="1:1" x14ac:dyDescent="0.25">
      <c r="A21" s="4" t="s">
        <v>17</v>
      </c>
    </row>
    <row r="22" spans="1:1" x14ac:dyDescent="0.25">
      <c r="A22" s="5" t="s">
        <v>18</v>
      </c>
    </row>
    <row r="23" spans="1:1" x14ac:dyDescent="0.25">
      <c r="A23" s="6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9" spans="1:1" ht="15.75" x14ac:dyDescent="0.25">
      <c r="A29" s="2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40" spans="1:1" ht="15.75" x14ac:dyDescent="0.25">
      <c r="A40" s="2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7" spans="1:1" x14ac:dyDescent="0.25">
      <c r="A47" t="s">
        <v>40</v>
      </c>
    </row>
  </sheetData>
  <sheetProtection sheet="1" formatColumns="0" formatRows="0"/>
  <printOptions horizontalCentered="1"/>
  <pageMargins left="0.5" right="0.5" top="0.6" bottom="0.6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" customWidth="1"/>
    <col min="2" max="2" width="52" customWidth="1"/>
    <col min="3" max="3" width="14" customWidth="1"/>
    <col min="4" max="4" width="70" customWidth="1"/>
  </cols>
  <sheetData>
    <row r="1" spans="1:4" ht="21" x14ac:dyDescent="0.35">
      <c r="A1" s="1" t="s">
        <v>41</v>
      </c>
    </row>
    <row r="2" spans="1:4" x14ac:dyDescent="0.25">
      <c r="A2" s="7" t="s">
        <v>42</v>
      </c>
    </row>
    <row r="3" spans="1:4" x14ac:dyDescent="0.25">
      <c r="A3" s="8"/>
      <c r="B3" s="8" t="s">
        <v>43</v>
      </c>
      <c r="C3" s="8" t="s">
        <v>44</v>
      </c>
      <c r="D3" s="8" t="s">
        <v>45</v>
      </c>
    </row>
    <row r="4" spans="1:4" x14ac:dyDescent="0.25">
      <c r="A4" s="34" t="s">
        <v>46</v>
      </c>
      <c r="B4" s="35"/>
      <c r="C4" s="35"/>
      <c r="D4" s="35"/>
    </row>
    <row r="5" spans="1:4" x14ac:dyDescent="0.25">
      <c r="B5" s="9" t="s">
        <v>47</v>
      </c>
      <c r="C5" s="10" t="s">
        <v>48</v>
      </c>
      <c r="D5" s="11" t="s">
        <v>49</v>
      </c>
    </row>
    <row r="6" spans="1:4" x14ac:dyDescent="0.25">
      <c r="B6" s="9" t="s">
        <v>50</v>
      </c>
      <c r="C6" s="12">
        <v>15</v>
      </c>
      <c r="D6" s="11" t="s">
        <v>51</v>
      </c>
    </row>
    <row r="7" spans="1:4" x14ac:dyDescent="0.25">
      <c r="B7" s="9" t="s">
        <v>52</v>
      </c>
      <c r="C7" s="12">
        <v>1500</v>
      </c>
      <c r="D7" s="11" t="s">
        <v>53</v>
      </c>
    </row>
    <row r="8" spans="1:4" x14ac:dyDescent="0.25">
      <c r="B8" s="9" t="s">
        <v>54</v>
      </c>
      <c r="C8" s="13">
        <v>100</v>
      </c>
      <c r="D8" s="11" t="s">
        <v>55</v>
      </c>
    </row>
    <row r="9" spans="1:4" x14ac:dyDescent="0.25">
      <c r="B9" s="9" t="s">
        <v>56</v>
      </c>
      <c r="C9" s="14">
        <f>IF(Paramètres!$C$8&gt;0,Paramètres!$C$7/Paramètres!$C$8,0)</f>
        <v>15</v>
      </c>
      <c r="D9" s="15" t="str">
        <f>IF(AND(Paramètres!$C$5="Déduit",N(Paramètres!$C$8)=0),"ATTENTION : heures productives manquantes, le tarif horaire tombe à 0 € et vos prix sont trop bas.","")</f>
        <v/>
      </c>
    </row>
    <row r="10" spans="1:4" x14ac:dyDescent="0.25">
      <c r="B10" s="9" t="s">
        <v>57</v>
      </c>
      <c r="C10" s="16">
        <f>IF(Paramètres!$C$5="Déduit",Paramètres!$C$9,Paramètres!$C$6)</f>
        <v>15</v>
      </c>
      <c r="D10" s="11"/>
    </row>
    <row r="11" spans="1:4" x14ac:dyDescent="0.25">
      <c r="A11" s="34" t="s">
        <v>58</v>
      </c>
      <c r="B11" s="35"/>
      <c r="C11" s="35"/>
      <c r="D11" s="35"/>
    </row>
    <row r="12" spans="1:4" x14ac:dyDescent="0.25">
      <c r="B12" s="9" t="s">
        <v>59</v>
      </c>
      <c r="C12" s="12">
        <v>60</v>
      </c>
      <c r="D12" s="11" t="s">
        <v>60</v>
      </c>
    </row>
    <row r="13" spans="1:4" x14ac:dyDescent="0.25">
      <c r="B13" s="9" t="s">
        <v>61</v>
      </c>
      <c r="C13" s="13">
        <v>40</v>
      </c>
      <c r="D13" s="11" t="s">
        <v>62</v>
      </c>
    </row>
    <row r="14" spans="1:4" x14ac:dyDescent="0.25">
      <c r="B14" s="9" t="s">
        <v>63</v>
      </c>
      <c r="C14" s="16">
        <f>IF(Paramètres!$C$13&gt;0,Paramètres!$C$12/Paramètres!$C$13,0)</f>
        <v>1.5</v>
      </c>
      <c r="D14" s="15" t="str">
        <f>IF(AND(N(Paramètres!$C$12)&gt;0,N(Paramètres!$C$13)=0),"ATTENTION : nombre de produits vendus par mois manquant, les frais fixes ne sont pas comptés.","")</f>
        <v/>
      </c>
    </row>
    <row r="15" spans="1:4" x14ac:dyDescent="0.25">
      <c r="A15" s="34" t="s">
        <v>64</v>
      </c>
      <c r="B15" s="35"/>
      <c r="C15" s="35"/>
      <c r="D15" s="35"/>
    </row>
    <row r="16" spans="1:4" ht="36" x14ac:dyDescent="0.25">
      <c r="B16" s="9" t="s">
        <v>65</v>
      </c>
      <c r="C16" s="17">
        <v>0.123</v>
      </c>
      <c r="D16" s="11" t="s">
        <v>66</v>
      </c>
    </row>
    <row r="17" spans="1:4" x14ac:dyDescent="0.25">
      <c r="B17" s="9" t="s">
        <v>67</v>
      </c>
      <c r="C17" s="10" t="s">
        <v>68</v>
      </c>
      <c r="D17" s="11" t="s">
        <v>69</v>
      </c>
    </row>
    <row r="18" spans="1:4" x14ac:dyDescent="0.25">
      <c r="B18" s="9" t="s">
        <v>70</v>
      </c>
      <c r="C18" s="17">
        <v>0.2</v>
      </c>
      <c r="D18" s="11" t="s">
        <v>71</v>
      </c>
    </row>
    <row r="19" spans="1:4" x14ac:dyDescent="0.25">
      <c r="B19" s="9" t="s">
        <v>72</v>
      </c>
      <c r="C19" s="18">
        <f>IF(Paramètres!$C$17="Oui",Paramètres!$C$18,0)</f>
        <v>0</v>
      </c>
      <c r="D19" s="11"/>
    </row>
    <row r="20" spans="1:4" x14ac:dyDescent="0.25">
      <c r="B20" s="9" t="s">
        <v>73</v>
      </c>
      <c r="C20" s="18">
        <f>(1-Paramètres!$C$16)/(1+Paramètres!$C$19)</f>
        <v>0.877</v>
      </c>
      <c r="D20" s="11" t="s">
        <v>74</v>
      </c>
    </row>
    <row r="21" spans="1:4" x14ac:dyDescent="0.25">
      <c r="A21" s="34" t="s">
        <v>75</v>
      </c>
      <c r="B21" s="35"/>
      <c r="C21" s="35"/>
      <c r="D21" s="35"/>
    </row>
    <row r="22" spans="1:4" x14ac:dyDescent="0.25">
      <c r="B22" s="9" t="s">
        <v>76</v>
      </c>
      <c r="C22" s="17">
        <v>0</v>
      </c>
      <c r="D22" s="11" t="s">
        <v>77</v>
      </c>
    </row>
    <row r="23" spans="1:4" x14ac:dyDescent="0.25">
      <c r="B23" s="9" t="s">
        <v>78</v>
      </c>
      <c r="C23" s="12">
        <v>0</v>
      </c>
      <c r="D23" s="11" t="s">
        <v>79</v>
      </c>
    </row>
    <row r="24" spans="1:4" x14ac:dyDescent="0.25">
      <c r="A24" s="34" t="s">
        <v>80</v>
      </c>
      <c r="B24" s="35"/>
      <c r="C24" s="35"/>
      <c r="D24" s="35"/>
    </row>
    <row r="25" spans="1:4" x14ac:dyDescent="0.25">
      <c r="B25" s="9" t="s">
        <v>81</v>
      </c>
      <c r="C25" s="19"/>
      <c r="D25" s="11" t="s">
        <v>82</v>
      </c>
    </row>
    <row r="26" spans="1:4" x14ac:dyDescent="0.25">
      <c r="B26" s="9" t="s">
        <v>83</v>
      </c>
      <c r="C26" s="20"/>
      <c r="D26" s="11" t="s">
        <v>84</v>
      </c>
    </row>
    <row r="27" spans="1:4" x14ac:dyDescent="0.25">
      <c r="B27" s="9" t="s">
        <v>85</v>
      </c>
      <c r="C27" s="17"/>
      <c r="D27" s="11" t="s">
        <v>86</v>
      </c>
    </row>
    <row r="28" spans="1:4" ht="24" x14ac:dyDescent="0.25">
      <c r="B28" s="9" t="s">
        <v>87</v>
      </c>
      <c r="C28" s="17"/>
      <c r="D28" s="11" t="s">
        <v>88</v>
      </c>
    </row>
    <row r="29" spans="1:4" x14ac:dyDescent="0.25">
      <c r="B29" s="9" t="s">
        <v>89</v>
      </c>
      <c r="C29" s="12"/>
      <c r="D29" s="11" t="s">
        <v>90</v>
      </c>
    </row>
    <row r="30" spans="1:4" ht="24" x14ac:dyDescent="0.25">
      <c r="B30" s="9" t="s">
        <v>91</v>
      </c>
      <c r="C30" s="17"/>
      <c r="D30" s="11" t="s">
        <v>92</v>
      </c>
    </row>
    <row r="31" spans="1:4" x14ac:dyDescent="0.25">
      <c r="B31" s="9" t="s">
        <v>93</v>
      </c>
      <c r="C31" s="10" t="s">
        <v>68</v>
      </c>
      <c r="D31" s="11" t="s">
        <v>94</v>
      </c>
    </row>
    <row r="32" spans="1:4" ht="24" x14ac:dyDescent="0.25">
      <c r="B32" s="9" t="s">
        <v>95</v>
      </c>
      <c r="C32" s="17"/>
      <c r="D32" s="11" t="s">
        <v>96</v>
      </c>
    </row>
    <row r="33" spans="1:4" ht="24" x14ac:dyDescent="0.25">
      <c r="B33" s="9" t="s">
        <v>97</v>
      </c>
      <c r="C33" s="17"/>
      <c r="D33" s="11" t="s">
        <v>98</v>
      </c>
    </row>
    <row r="34" spans="1:4" ht="24" x14ac:dyDescent="0.25">
      <c r="B34" s="9" t="s">
        <v>99</v>
      </c>
      <c r="C34" s="18" t="str">
        <f>IF(OR(COUNT(Paramètres!$C$27,Paramètres!$C$28,Paramètres!$C$30)&lt;3,AND(Paramètres!$C$31="Oui",COUNT(Paramètres!$C$32)&lt;1)),"À renseigner",(Paramètres!$C$27+Paramètres!$C$28+Paramètres!$C$30+IF(Paramètres!$C$31="Oui",Paramètres!$C$32,0))*(1+N(Paramètres!$C$33)))</f>
        <v>À renseigner</v>
      </c>
      <c r="D34" s="11" t="s">
        <v>100</v>
      </c>
    </row>
    <row r="35" spans="1:4" x14ac:dyDescent="0.25">
      <c r="B35" s="9" t="s">
        <v>101</v>
      </c>
      <c r="C35" s="14" t="str">
        <f>IF(COUNT(Paramètres!$C$29,Paramètres!$C$25,Paramètres!$C$26)&lt;3,"À renseigner",(Paramètres!$C$29+Paramètres!$C$25*Paramètres!$C$26)*(1+N(Paramètres!$C$33)))</f>
        <v>À renseigner</v>
      </c>
      <c r="D35" s="11"/>
    </row>
    <row r="36" spans="1:4" x14ac:dyDescent="0.25">
      <c r="A36" s="34" t="s">
        <v>102</v>
      </c>
      <c r="B36" s="35"/>
      <c r="C36" s="35"/>
      <c r="D36" s="35"/>
    </row>
    <row r="37" spans="1:4" x14ac:dyDescent="0.25">
      <c r="B37" s="9" t="s">
        <v>103</v>
      </c>
      <c r="C37" s="17">
        <v>0.3</v>
      </c>
      <c r="D37" s="11" t="s">
        <v>104</v>
      </c>
    </row>
    <row r="38" spans="1:4" x14ac:dyDescent="0.25">
      <c r="A38" s="34" t="s">
        <v>105</v>
      </c>
      <c r="B38" s="35"/>
      <c r="C38" s="35"/>
      <c r="D38" s="35"/>
    </row>
    <row r="39" spans="1:4" ht="24" x14ac:dyDescent="0.25">
      <c r="B39" s="9" t="s">
        <v>106</v>
      </c>
      <c r="C39" s="21">
        <v>2.2000000000000002</v>
      </c>
      <c r="D39" s="11" t="s">
        <v>107</v>
      </c>
    </row>
    <row r="41" spans="1:4" x14ac:dyDescent="0.25">
      <c r="B41" s="22" t="str">
        <f>IF(Paramètres!$C$17="Oui","Vos prix calculés sont TTC (TVA incluse).","Mention à porter sur vos factures : « TVA non applicable, art. 293 B du CGI »")</f>
        <v>Mention à porter sur vos factures : « TVA non applicable, art. 293 B du CGI »</v>
      </c>
    </row>
    <row r="42" spans="1:4" x14ac:dyDescent="0.25">
      <c r="B42" s="7" t="s">
        <v>108</v>
      </c>
    </row>
  </sheetData>
  <sheetProtection sheet="1" formatColumns="0" formatRows="0"/>
  <mergeCells count="7">
    <mergeCell ref="A4:D4"/>
    <mergeCell ref="A21:D21"/>
    <mergeCell ref="A38:D38"/>
    <mergeCell ref="A15:D15"/>
    <mergeCell ref="A24:D24"/>
    <mergeCell ref="A11:D11"/>
    <mergeCell ref="A36:D36"/>
  </mergeCells>
  <dataValidations count="8">
    <dataValidation type="list" allowBlank="1" showErrorMessage="1" errorTitle="Choix invalide" error="Choisissez une valeur dans la liste." sqref="C5" xr:uid="{00000000-0002-0000-0100-000000000000}">
      <formula1>"Saisi,Déduit"</formula1>
    </dataValidation>
    <dataValidation type="decimal" operator="greaterThanOrEqual" allowBlank="1" showErrorMessage="1" errorTitle="Valeur invalide" error="Saisissez un nombre positif ou nul." sqref="C29 C25:C26 C23 C12 C6:C7" xr:uid="{00000000-0002-0000-0100-000001000000}">
      <formula1>0</formula1>
    </dataValidation>
    <dataValidation type="decimal" operator="greaterThan" allowBlank="1" showErrorMessage="1" errorTitle="Valeur invalide" error="Heures productives : saisissez un nombre d'heures supérieur à 0." sqref="C8" xr:uid="{00000000-0002-0000-0100-000003000000}">
      <formula1>0</formula1>
    </dataValidation>
    <dataValidation type="decimal" operator="greaterThan" allowBlank="1" showErrorMessage="1" errorTitle="Valeur invalide" error="Produits vendus par mois : saisissez un nombre supérieur à 0." sqref="C13" xr:uid="{00000000-0002-0000-0100-000005000000}">
      <formula1>0</formula1>
    </dataValidation>
    <dataValidation type="custom" allowBlank="1" showErrorMessage="1" errorTitle="Taux invalide" error="Saisissez un pourcentage entre 0 % et 99,99 % (strictement inférieur à 100 %)." sqref="C16" xr:uid="{00000000-0002-0000-0100-000006000000}">
      <formula1>AND(ISNUMBER(C16),C16&gt;=0,C16&lt;1)</formula1>
    </dataValidation>
    <dataValidation type="list" allowBlank="1" showErrorMessage="1" errorTitle="Choix invalide" error="Choisissez une valeur dans la liste." sqref="C17 C31" xr:uid="{00000000-0002-0000-0100-000007000000}">
      <formula1>"Non,Oui"</formula1>
    </dataValidation>
    <dataValidation type="decimal" allowBlank="1" showErrorMessage="1" errorTitle="Taux invalide" error="Saisissez un pourcentage entre 0 % et 100 %." sqref="C18 C37 C32:C33 C30 C27:C28 C22" xr:uid="{00000000-0002-0000-0100-000008000000}">
      <formula1>0</formula1>
      <formula2>1</formula2>
    </dataValidation>
    <dataValidation type="decimal" operator="greaterThan" allowBlank="1" showErrorMessage="1" errorTitle="Valeur invalide" error="Coefficient boutique : saisissez un coefficient supérieur à 0 (souvent 2 à 2,5)." sqref="C39" xr:uid="{00000000-0002-0000-0100-000015000000}">
      <formula1>0</formula1>
    </dataValidation>
  </dataValidations>
  <printOptions horizontalCentered="1"/>
  <pageMargins left="0.5" right="0.5" top="0.6" bottom="0.6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2" customWidth="1"/>
    <col min="2" max="3" width="15" customWidth="1"/>
    <col min="4" max="4" width="10" customWidth="1"/>
    <col min="5" max="5" width="17" customWidth="1"/>
    <col min="6" max="6" width="38" customWidth="1"/>
  </cols>
  <sheetData>
    <row r="1" spans="1:6" ht="21" x14ac:dyDescent="0.35">
      <c r="A1" s="1" t="s">
        <v>109</v>
      </c>
    </row>
    <row r="2" spans="1:6" x14ac:dyDescent="0.25">
      <c r="A2" s="7" t="s">
        <v>110</v>
      </c>
    </row>
    <row r="4" spans="1:6" x14ac:dyDescent="0.25">
      <c r="A4" s="23" t="s">
        <v>111</v>
      </c>
      <c r="B4" s="23" t="s">
        <v>112</v>
      </c>
      <c r="C4" s="23" t="s">
        <v>113</v>
      </c>
      <c r="D4" s="23" t="s">
        <v>114</v>
      </c>
      <c r="E4" s="23" t="s">
        <v>115</v>
      </c>
      <c r="F4" s="23" t="s">
        <v>116</v>
      </c>
    </row>
    <row r="5" spans="1:6" x14ac:dyDescent="0.25">
      <c r="A5" s="10" t="s">
        <v>117</v>
      </c>
      <c r="B5" s="12">
        <v>9</v>
      </c>
      <c r="C5" s="13">
        <v>1000</v>
      </c>
      <c r="D5" s="10" t="s">
        <v>118</v>
      </c>
      <c r="E5" s="24">
        <f t="shared" ref="E5:E36" si="0">IF(AND(ISNUMBER(B5),ISNUMBER(C5)),IF(C5&gt;0,B5/C5,""),"")</f>
        <v>8.9999999999999993E-3</v>
      </c>
      <c r="F5" s="10" t="s">
        <v>119</v>
      </c>
    </row>
    <row r="6" spans="1:6" x14ac:dyDescent="0.25">
      <c r="A6" s="10" t="s">
        <v>120</v>
      </c>
      <c r="B6" s="12">
        <v>80</v>
      </c>
      <c r="C6" s="13">
        <v>1000</v>
      </c>
      <c r="D6" s="10" t="s">
        <v>118</v>
      </c>
      <c r="E6" s="24">
        <f t="shared" si="0"/>
        <v>0.08</v>
      </c>
      <c r="F6" s="10" t="s">
        <v>121</v>
      </c>
    </row>
    <row r="7" spans="1:6" x14ac:dyDescent="0.25">
      <c r="A7" s="10" t="s">
        <v>122</v>
      </c>
      <c r="B7" s="12">
        <v>6.29</v>
      </c>
      <c r="C7" s="13">
        <v>50</v>
      </c>
      <c r="D7" s="10" t="s">
        <v>123</v>
      </c>
      <c r="E7" s="24">
        <f t="shared" si="0"/>
        <v>0.1258</v>
      </c>
      <c r="F7" s="10" t="s">
        <v>124</v>
      </c>
    </row>
    <row r="8" spans="1:6" x14ac:dyDescent="0.25">
      <c r="A8" s="10" t="s">
        <v>125</v>
      </c>
      <c r="B8" s="12">
        <v>11.49</v>
      </c>
      <c r="C8" s="13">
        <v>6</v>
      </c>
      <c r="D8" s="10" t="s">
        <v>123</v>
      </c>
      <c r="E8" s="24">
        <f t="shared" si="0"/>
        <v>1.915</v>
      </c>
      <c r="F8" s="10" t="s">
        <v>126</v>
      </c>
    </row>
    <row r="9" spans="1:6" x14ac:dyDescent="0.25">
      <c r="A9" s="10" t="s">
        <v>127</v>
      </c>
      <c r="B9" s="12">
        <v>0.12</v>
      </c>
      <c r="C9" s="13">
        <v>1</v>
      </c>
      <c r="D9" s="10" t="s">
        <v>123</v>
      </c>
      <c r="E9" s="24">
        <f t="shared" si="0"/>
        <v>0.12</v>
      </c>
      <c r="F9" s="10" t="s">
        <v>128</v>
      </c>
    </row>
    <row r="10" spans="1:6" x14ac:dyDescent="0.25">
      <c r="A10" s="10" t="s">
        <v>129</v>
      </c>
      <c r="B10" s="12">
        <v>0.8</v>
      </c>
      <c r="C10" s="13">
        <v>1</v>
      </c>
      <c r="D10" s="10" t="s">
        <v>123</v>
      </c>
      <c r="E10" s="24">
        <f t="shared" si="0"/>
        <v>0.8</v>
      </c>
      <c r="F10" s="10" t="s">
        <v>130</v>
      </c>
    </row>
    <row r="11" spans="1:6" x14ac:dyDescent="0.25">
      <c r="A11" s="10" t="s">
        <v>131</v>
      </c>
      <c r="B11" s="12">
        <v>0.9</v>
      </c>
      <c r="C11" s="13">
        <v>100</v>
      </c>
      <c r="D11" s="10" t="s">
        <v>132</v>
      </c>
      <c r="E11" s="24">
        <f t="shared" si="0"/>
        <v>9.0000000000000011E-3</v>
      </c>
      <c r="F11" s="10" t="s">
        <v>133</v>
      </c>
    </row>
    <row r="12" spans="1:6" x14ac:dyDescent="0.25">
      <c r="A12" s="10" t="s">
        <v>134</v>
      </c>
      <c r="B12" s="12">
        <v>18.5</v>
      </c>
      <c r="C12" s="13">
        <v>100</v>
      </c>
      <c r="D12" s="10" t="s">
        <v>123</v>
      </c>
      <c r="E12" s="24">
        <f t="shared" si="0"/>
        <v>0.185</v>
      </c>
      <c r="F12" s="10" t="s">
        <v>135</v>
      </c>
    </row>
    <row r="13" spans="1:6" x14ac:dyDescent="0.25">
      <c r="A13" s="10" t="s">
        <v>136</v>
      </c>
      <c r="B13" s="12">
        <v>1.5</v>
      </c>
      <c r="C13" s="13">
        <v>100</v>
      </c>
      <c r="D13" s="10" t="s">
        <v>123</v>
      </c>
      <c r="E13" s="24">
        <f t="shared" si="0"/>
        <v>1.4999999999999999E-2</v>
      </c>
      <c r="F13" s="10" t="s">
        <v>135</v>
      </c>
    </row>
    <row r="14" spans="1:6" x14ac:dyDescent="0.25">
      <c r="A14" s="10" t="s">
        <v>137</v>
      </c>
      <c r="B14" s="12">
        <v>3.2</v>
      </c>
      <c r="C14" s="13">
        <v>8</v>
      </c>
      <c r="D14" s="10" t="s">
        <v>118</v>
      </c>
      <c r="E14" s="24">
        <f t="shared" si="0"/>
        <v>0.4</v>
      </c>
      <c r="F14" s="10" t="s">
        <v>138</v>
      </c>
    </row>
    <row r="15" spans="1:6" x14ac:dyDescent="0.25">
      <c r="A15" s="10" t="s">
        <v>139</v>
      </c>
      <c r="B15" s="12">
        <v>0.5</v>
      </c>
      <c r="C15" s="13">
        <v>1</v>
      </c>
      <c r="D15" s="10" t="s">
        <v>123</v>
      </c>
      <c r="E15" s="24">
        <f t="shared" si="0"/>
        <v>0.5</v>
      </c>
      <c r="F15" s="10" t="s">
        <v>140</v>
      </c>
    </row>
    <row r="16" spans="1:6" x14ac:dyDescent="0.25">
      <c r="A16" s="10" t="s">
        <v>141</v>
      </c>
      <c r="B16" s="12">
        <v>20</v>
      </c>
      <c r="C16" s="13">
        <v>1000</v>
      </c>
      <c r="D16" s="10" t="s">
        <v>118</v>
      </c>
      <c r="E16" s="24">
        <f t="shared" si="0"/>
        <v>0.02</v>
      </c>
      <c r="F16" s="10" t="s">
        <v>142</v>
      </c>
    </row>
    <row r="17" spans="1:6" x14ac:dyDescent="0.25">
      <c r="A17" s="10" t="s">
        <v>143</v>
      </c>
      <c r="B17" s="12">
        <v>0.2001</v>
      </c>
      <c r="C17" s="13">
        <v>1</v>
      </c>
      <c r="D17" s="10" t="s">
        <v>144</v>
      </c>
      <c r="E17" s="24">
        <f t="shared" si="0"/>
        <v>0.2001</v>
      </c>
      <c r="F17" s="10" t="s">
        <v>145</v>
      </c>
    </row>
    <row r="18" spans="1:6" x14ac:dyDescent="0.25">
      <c r="A18" s="10" t="s">
        <v>146</v>
      </c>
      <c r="B18" s="12">
        <v>369</v>
      </c>
      <c r="C18" s="13">
        <v>4000</v>
      </c>
      <c r="D18" s="10" t="s">
        <v>147</v>
      </c>
      <c r="E18" s="24">
        <f t="shared" si="0"/>
        <v>9.2249999999999999E-2</v>
      </c>
      <c r="F18" s="10" t="s">
        <v>148</v>
      </c>
    </row>
    <row r="19" spans="1:6" x14ac:dyDescent="0.25">
      <c r="A19" s="10" t="s">
        <v>149</v>
      </c>
      <c r="B19" s="12">
        <v>20</v>
      </c>
      <c r="C19" s="13">
        <v>50</v>
      </c>
      <c r="D19" s="10" t="s">
        <v>123</v>
      </c>
      <c r="E19" s="24">
        <f t="shared" si="0"/>
        <v>0.4</v>
      </c>
      <c r="F19" s="10" t="s">
        <v>150</v>
      </c>
    </row>
    <row r="20" spans="1:6" x14ac:dyDescent="0.25">
      <c r="A20" s="10" t="s">
        <v>151</v>
      </c>
      <c r="B20" s="12">
        <v>6</v>
      </c>
      <c r="C20" s="13">
        <v>100</v>
      </c>
      <c r="D20" s="10" t="s">
        <v>152</v>
      </c>
      <c r="E20" s="24">
        <f t="shared" si="0"/>
        <v>0.06</v>
      </c>
      <c r="F20" s="10" t="s">
        <v>150</v>
      </c>
    </row>
    <row r="21" spans="1:6" x14ac:dyDescent="0.25">
      <c r="A21" s="10"/>
      <c r="B21" s="12"/>
      <c r="C21" s="13"/>
      <c r="D21" s="10"/>
      <c r="E21" s="24" t="str">
        <f t="shared" si="0"/>
        <v/>
      </c>
      <c r="F21" s="10"/>
    </row>
    <row r="22" spans="1:6" x14ac:dyDescent="0.25">
      <c r="A22" s="10"/>
      <c r="B22" s="12"/>
      <c r="C22" s="13"/>
      <c r="D22" s="10"/>
      <c r="E22" s="24" t="str">
        <f t="shared" si="0"/>
        <v/>
      </c>
      <c r="F22" s="10"/>
    </row>
    <row r="23" spans="1:6" x14ac:dyDescent="0.25">
      <c r="A23" s="10"/>
      <c r="B23" s="12"/>
      <c r="C23" s="13"/>
      <c r="D23" s="10"/>
      <c r="E23" s="24" t="str">
        <f t="shared" si="0"/>
        <v/>
      </c>
      <c r="F23" s="10"/>
    </row>
    <row r="24" spans="1:6" x14ac:dyDescent="0.25">
      <c r="A24" s="10"/>
      <c r="B24" s="12"/>
      <c r="C24" s="13"/>
      <c r="D24" s="10"/>
      <c r="E24" s="24" t="str">
        <f t="shared" si="0"/>
        <v/>
      </c>
      <c r="F24" s="10"/>
    </row>
    <row r="25" spans="1:6" x14ac:dyDescent="0.25">
      <c r="A25" s="10"/>
      <c r="B25" s="12"/>
      <c r="C25" s="13"/>
      <c r="D25" s="10"/>
      <c r="E25" s="24" t="str">
        <f t="shared" si="0"/>
        <v/>
      </c>
      <c r="F25" s="10"/>
    </row>
    <row r="26" spans="1:6" x14ac:dyDescent="0.25">
      <c r="A26" s="10"/>
      <c r="B26" s="12"/>
      <c r="C26" s="13"/>
      <c r="D26" s="10"/>
      <c r="E26" s="24" t="str">
        <f t="shared" si="0"/>
        <v/>
      </c>
      <c r="F26" s="10"/>
    </row>
    <row r="27" spans="1:6" x14ac:dyDescent="0.25">
      <c r="A27" s="10"/>
      <c r="B27" s="12"/>
      <c r="C27" s="13"/>
      <c r="D27" s="10"/>
      <c r="E27" s="24" t="str">
        <f t="shared" si="0"/>
        <v/>
      </c>
      <c r="F27" s="10"/>
    </row>
    <row r="28" spans="1:6" x14ac:dyDescent="0.25">
      <c r="A28" s="10"/>
      <c r="B28" s="12"/>
      <c r="C28" s="13"/>
      <c r="D28" s="10"/>
      <c r="E28" s="24" t="str">
        <f t="shared" si="0"/>
        <v/>
      </c>
      <c r="F28" s="10"/>
    </row>
    <row r="29" spans="1:6" x14ac:dyDescent="0.25">
      <c r="A29" s="10"/>
      <c r="B29" s="12"/>
      <c r="C29" s="13"/>
      <c r="D29" s="10"/>
      <c r="E29" s="24" t="str">
        <f t="shared" si="0"/>
        <v/>
      </c>
      <c r="F29" s="10"/>
    </row>
    <row r="30" spans="1:6" x14ac:dyDescent="0.25">
      <c r="A30" s="10"/>
      <c r="B30" s="12"/>
      <c r="C30" s="13"/>
      <c r="D30" s="10"/>
      <c r="E30" s="24" t="str">
        <f t="shared" si="0"/>
        <v/>
      </c>
      <c r="F30" s="10"/>
    </row>
    <row r="31" spans="1:6" x14ac:dyDescent="0.25">
      <c r="A31" s="10"/>
      <c r="B31" s="12"/>
      <c r="C31" s="13"/>
      <c r="D31" s="10"/>
      <c r="E31" s="24" t="str">
        <f t="shared" si="0"/>
        <v/>
      </c>
      <c r="F31" s="10"/>
    </row>
    <row r="32" spans="1:6" x14ac:dyDescent="0.25">
      <c r="A32" s="10"/>
      <c r="B32" s="12"/>
      <c r="C32" s="13"/>
      <c r="D32" s="10"/>
      <c r="E32" s="24" t="str">
        <f t="shared" si="0"/>
        <v/>
      </c>
      <c r="F32" s="10"/>
    </row>
    <row r="33" spans="1:6" x14ac:dyDescent="0.25">
      <c r="A33" s="10"/>
      <c r="B33" s="12"/>
      <c r="C33" s="13"/>
      <c r="D33" s="10"/>
      <c r="E33" s="24" t="str">
        <f t="shared" si="0"/>
        <v/>
      </c>
      <c r="F33" s="10"/>
    </row>
    <row r="34" spans="1:6" x14ac:dyDescent="0.25">
      <c r="A34" s="10"/>
      <c r="B34" s="12"/>
      <c r="C34" s="13"/>
      <c r="D34" s="10"/>
      <c r="E34" s="24" t="str">
        <f t="shared" si="0"/>
        <v/>
      </c>
      <c r="F34" s="10"/>
    </row>
    <row r="35" spans="1:6" x14ac:dyDescent="0.25">
      <c r="A35" s="10"/>
      <c r="B35" s="12"/>
      <c r="C35" s="13"/>
      <c r="D35" s="10"/>
      <c r="E35" s="24" t="str">
        <f t="shared" si="0"/>
        <v/>
      </c>
      <c r="F35" s="10"/>
    </row>
    <row r="36" spans="1:6" x14ac:dyDescent="0.25">
      <c r="A36" s="10"/>
      <c r="B36" s="12"/>
      <c r="C36" s="13"/>
      <c r="D36" s="10"/>
      <c r="E36" s="24" t="str">
        <f t="shared" si="0"/>
        <v/>
      </c>
      <c r="F36" s="10"/>
    </row>
    <row r="37" spans="1:6" x14ac:dyDescent="0.25">
      <c r="A37" s="10"/>
      <c r="B37" s="12"/>
      <c r="C37" s="13"/>
      <c r="D37" s="10"/>
      <c r="E37" s="24" t="str">
        <f t="shared" ref="E37:E68" si="1">IF(AND(ISNUMBER(B37),ISNUMBER(C37)),IF(C37&gt;0,B37/C37,""),"")</f>
        <v/>
      </c>
      <c r="F37" s="10"/>
    </row>
    <row r="38" spans="1:6" x14ac:dyDescent="0.25">
      <c r="A38" s="10"/>
      <c r="B38" s="12"/>
      <c r="C38" s="13"/>
      <c r="D38" s="10"/>
      <c r="E38" s="24" t="str">
        <f t="shared" si="1"/>
        <v/>
      </c>
      <c r="F38" s="10"/>
    </row>
    <row r="39" spans="1:6" x14ac:dyDescent="0.25">
      <c r="A39" s="10"/>
      <c r="B39" s="12"/>
      <c r="C39" s="13"/>
      <c r="D39" s="10"/>
      <c r="E39" s="24" t="str">
        <f t="shared" si="1"/>
        <v/>
      </c>
      <c r="F39" s="10"/>
    </row>
    <row r="40" spans="1:6" x14ac:dyDescent="0.25">
      <c r="A40" s="10"/>
      <c r="B40" s="12"/>
      <c r="C40" s="13"/>
      <c r="D40" s="10"/>
      <c r="E40" s="24" t="str">
        <f t="shared" si="1"/>
        <v/>
      </c>
      <c r="F40" s="10"/>
    </row>
    <row r="41" spans="1:6" x14ac:dyDescent="0.25">
      <c r="A41" s="10"/>
      <c r="B41" s="12"/>
      <c r="C41" s="13"/>
      <c r="D41" s="10"/>
      <c r="E41" s="24" t="str">
        <f t="shared" si="1"/>
        <v/>
      </c>
      <c r="F41" s="10"/>
    </row>
    <row r="42" spans="1:6" x14ac:dyDescent="0.25">
      <c r="A42" s="10"/>
      <c r="B42" s="12"/>
      <c r="C42" s="13"/>
      <c r="D42" s="10"/>
      <c r="E42" s="24" t="str">
        <f t="shared" si="1"/>
        <v/>
      </c>
      <c r="F42" s="10"/>
    </row>
    <row r="43" spans="1:6" x14ac:dyDescent="0.25">
      <c r="A43" s="10"/>
      <c r="B43" s="12"/>
      <c r="C43" s="13"/>
      <c r="D43" s="10"/>
      <c r="E43" s="24" t="str">
        <f t="shared" si="1"/>
        <v/>
      </c>
      <c r="F43" s="10"/>
    </row>
    <row r="44" spans="1:6" x14ac:dyDescent="0.25">
      <c r="A44" s="10"/>
      <c r="B44" s="12"/>
      <c r="C44" s="13"/>
      <c r="D44" s="10"/>
      <c r="E44" s="24" t="str">
        <f t="shared" si="1"/>
        <v/>
      </c>
      <c r="F44" s="10"/>
    </row>
    <row r="45" spans="1:6" x14ac:dyDescent="0.25">
      <c r="A45" s="10"/>
      <c r="B45" s="12"/>
      <c r="C45" s="13"/>
      <c r="D45" s="10"/>
      <c r="E45" s="24" t="str">
        <f t="shared" si="1"/>
        <v/>
      </c>
      <c r="F45" s="10"/>
    </row>
    <row r="46" spans="1:6" x14ac:dyDescent="0.25">
      <c r="A46" s="10"/>
      <c r="B46" s="12"/>
      <c r="C46" s="13"/>
      <c r="D46" s="10"/>
      <c r="E46" s="24" t="str">
        <f t="shared" si="1"/>
        <v/>
      </c>
      <c r="F46" s="10"/>
    </row>
    <row r="47" spans="1:6" x14ac:dyDescent="0.25">
      <c r="A47" s="10"/>
      <c r="B47" s="12"/>
      <c r="C47" s="13"/>
      <c r="D47" s="10"/>
      <c r="E47" s="24" t="str">
        <f t="shared" si="1"/>
        <v/>
      </c>
      <c r="F47" s="10"/>
    </row>
    <row r="48" spans="1:6" x14ac:dyDescent="0.25">
      <c r="A48" s="10"/>
      <c r="B48" s="12"/>
      <c r="C48" s="13"/>
      <c r="D48" s="10"/>
      <c r="E48" s="24" t="str">
        <f t="shared" si="1"/>
        <v/>
      </c>
      <c r="F48" s="10"/>
    </row>
    <row r="49" spans="1:6" x14ac:dyDescent="0.25">
      <c r="A49" s="10"/>
      <c r="B49" s="12"/>
      <c r="C49" s="13"/>
      <c r="D49" s="10"/>
      <c r="E49" s="24" t="str">
        <f t="shared" si="1"/>
        <v/>
      </c>
      <c r="F49" s="10"/>
    </row>
    <row r="50" spans="1:6" x14ac:dyDescent="0.25">
      <c r="A50" s="10"/>
      <c r="B50" s="12"/>
      <c r="C50" s="13"/>
      <c r="D50" s="10"/>
      <c r="E50" s="24" t="str">
        <f t="shared" si="1"/>
        <v/>
      </c>
      <c r="F50" s="10"/>
    </row>
    <row r="51" spans="1:6" x14ac:dyDescent="0.25">
      <c r="A51" s="10"/>
      <c r="B51" s="12"/>
      <c r="C51" s="13"/>
      <c r="D51" s="10"/>
      <c r="E51" s="24" t="str">
        <f t="shared" si="1"/>
        <v/>
      </c>
      <c r="F51" s="10"/>
    </row>
    <row r="52" spans="1:6" x14ac:dyDescent="0.25">
      <c r="A52" s="10"/>
      <c r="B52" s="12"/>
      <c r="C52" s="13"/>
      <c r="D52" s="10"/>
      <c r="E52" s="24" t="str">
        <f t="shared" si="1"/>
        <v/>
      </c>
      <c r="F52" s="10"/>
    </row>
    <row r="53" spans="1:6" x14ac:dyDescent="0.25">
      <c r="A53" s="10"/>
      <c r="B53" s="12"/>
      <c r="C53" s="13"/>
      <c r="D53" s="10"/>
      <c r="E53" s="24" t="str">
        <f t="shared" si="1"/>
        <v/>
      </c>
      <c r="F53" s="10"/>
    </row>
    <row r="54" spans="1:6" x14ac:dyDescent="0.25">
      <c r="A54" s="10"/>
      <c r="B54" s="12"/>
      <c r="C54" s="13"/>
      <c r="D54" s="10"/>
      <c r="E54" s="24" t="str">
        <f t="shared" si="1"/>
        <v/>
      </c>
      <c r="F54" s="10"/>
    </row>
    <row r="55" spans="1:6" x14ac:dyDescent="0.25">
      <c r="A55" s="10"/>
      <c r="B55" s="12"/>
      <c r="C55" s="13"/>
      <c r="D55" s="10"/>
      <c r="E55" s="24" t="str">
        <f t="shared" si="1"/>
        <v/>
      </c>
      <c r="F55" s="10"/>
    </row>
    <row r="56" spans="1:6" x14ac:dyDescent="0.25">
      <c r="A56" s="10"/>
      <c r="B56" s="12"/>
      <c r="C56" s="13"/>
      <c r="D56" s="10"/>
      <c r="E56" s="24" t="str">
        <f t="shared" si="1"/>
        <v/>
      </c>
      <c r="F56" s="10"/>
    </row>
    <row r="57" spans="1:6" x14ac:dyDescent="0.25">
      <c r="A57" s="10"/>
      <c r="B57" s="12"/>
      <c r="C57" s="13"/>
      <c r="D57" s="10"/>
      <c r="E57" s="24" t="str">
        <f t="shared" si="1"/>
        <v/>
      </c>
      <c r="F57" s="10"/>
    </row>
    <row r="58" spans="1:6" x14ac:dyDescent="0.25">
      <c r="A58" s="10"/>
      <c r="B58" s="12"/>
      <c r="C58" s="13"/>
      <c r="D58" s="10"/>
      <c r="E58" s="24" t="str">
        <f t="shared" si="1"/>
        <v/>
      </c>
      <c r="F58" s="10"/>
    </row>
    <row r="59" spans="1:6" x14ac:dyDescent="0.25">
      <c r="A59" s="10"/>
      <c r="B59" s="12"/>
      <c r="C59" s="13"/>
      <c r="D59" s="10"/>
      <c r="E59" s="24" t="str">
        <f t="shared" si="1"/>
        <v/>
      </c>
      <c r="F59" s="10"/>
    </row>
    <row r="60" spans="1:6" x14ac:dyDescent="0.25">
      <c r="A60" s="10"/>
      <c r="B60" s="12"/>
      <c r="C60" s="13"/>
      <c r="D60" s="10"/>
      <c r="E60" s="24" t="str">
        <f t="shared" si="1"/>
        <v/>
      </c>
      <c r="F60" s="10"/>
    </row>
    <row r="61" spans="1:6" x14ac:dyDescent="0.25">
      <c r="A61" s="10"/>
      <c r="B61" s="12"/>
      <c r="C61" s="13"/>
      <c r="D61" s="10"/>
      <c r="E61" s="24" t="str">
        <f t="shared" si="1"/>
        <v/>
      </c>
      <c r="F61" s="10"/>
    </row>
    <row r="62" spans="1:6" x14ac:dyDescent="0.25">
      <c r="A62" s="10"/>
      <c r="B62" s="12"/>
      <c r="C62" s="13"/>
      <c r="D62" s="10"/>
      <c r="E62" s="24" t="str">
        <f t="shared" si="1"/>
        <v/>
      </c>
      <c r="F62" s="10"/>
    </row>
    <row r="63" spans="1:6" x14ac:dyDescent="0.25">
      <c r="A63" s="10"/>
      <c r="B63" s="12"/>
      <c r="C63" s="13"/>
      <c r="D63" s="10"/>
      <c r="E63" s="24" t="str">
        <f t="shared" si="1"/>
        <v/>
      </c>
      <c r="F63" s="10"/>
    </row>
    <row r="64" spans="1:6" x14ac:dyDescent="0.25">
      <c r="A64" s="10"/>
      <c r="B64" s="12"/>
      <c r="C64" s="13"/>
      <c r="D64" s="10"/>
      <c r="E64" s="24" t="str">
        <f t="shared" si="1"/>
        <v/>
      </c>
      <c r="F64" s="10"/>
    </row>
    <row r="65" spans="1:6" x14ac:dyDescent="0.25">
      <c r="A65" s="10"/>
      <c r="B65" s="12"/>
      <c r="C65" s="13"/>
      <c r="D65" s="10"/>
      <c r="E65" s="24" t="str">
        <f t="shared" si="1"/>
        <v/>
      </c>
      <c r="F65" s="10"/>
    </row>
    <row r="66" spans="1:6" x14ac:dyDescent="0.25">
      <c r="A66" s="10"/>
      <c r="B66" s="12"/>
      <c r="C66" s="13"/>
      <c r="D66" s="10"/>
      <c r="E66" s="24" t="str">
        <f t="shared" si="1"/>
        <v/>
      </c>
      <c r="F66" s="10"/>
    </row>
    <row r="67" spans="1:6" x14ac:dyDescent="0.25">
      <c r="A67" s="10"/>
      <c r="B67" s="12"/>
      <c r="C67" s="13"/>
      <c r="D67" s="10"/>
      <c r="E67" s="24" t="str">
        <f t="shared" si="1"/>
        <v/>
      </c>
      <c r="F67" s="10"/>
    </row>
    <row r="68" spans="1:6" x14ac:dyDescent="0.25">
      <c r="A68" s="10"/>
      <c r="B68" s="12"/>
      <c r="C68" s="13"/>
      <c r="D68" s="10"/>
      <c r="E68" s="24" t="str">
        <f t="shared" si="1"/>
        <v/>
      </c>
      <c r="F68" s="10"/>
    </row>
    <row r="69" spans="1:6" x14ac:dyDescent="0.25">
      <c r="A69" s="10"/>
      <c r="B69" s="12"/>
      <c r="C69" s="13"/>
      <c r="D69" s="10"/>
      <c r="E69" s="24" t="str">
        <f t="shared" ref="E69:E104" si="2">IF(AND(ISNUMBER(B69),ISNUMBER(C69)),IF(C69&gt;0,B69/C69,""),"")</f>
        <v/>
      </c>
      <c r="F69" s="10"/>
    </row>
    <row r="70" spans="1:6" x14ac:dyDescent="0.25">
      <c r="A70" s="10"/>
      <c r="B70" s="12"/>
      <c r="C70" s="13"/>
      <c r="D70" s="10"/>
      <c r="E70" s="24" t="str">
        <f t="shared" si="2"/>
        <v/>
      </c>
      <c r="F70" s="10"/>
    </row>
    <row r="71" spans="1:6" x14ac:dyDescent="0.25">
      <c r="A71" s="10"/>
      <c r="B71" s="12"/>
      <c r="C71" s="13"/>
      <c r="D71" s="10"/>
      <c r="E71" s="24" t="str">
        <f t="shared" si="2"/>
        <v/>
      </c>
      <c r="F71" s="10"/>
    </row>
    <row r="72" spans="1:6" x14ac:dyDescent="0.25">
      <c r="A72" s="10"/>
      <c r="B72" s="12"/>
      <c r="C72" s="13"/>
      <c r="D72" s="10"/>
      <c r="E72" s="24" t="str">
        <f t="shared" si="2"/>
        <v/>
      </c>
      <c r="F72" s="10"/>
    </row>
    <row r="73" spans="1:6" x14ac:dyDescent="0.25">
      <c r="A73" s="10"/>
      <c r="B73" s="12"/>
      <c r="C73" s="13"/>
      <c r="D73" s="10"/>
      <c r="E73" s="24" t="str">
        <f t="shared" si="2"/>
        <v/>
      </c>
      <c r="F73" s="10"/>
    </row>
    <row r="74" spans="1:6" x14ac:dyDescent="0.25">
      <c r="A74" s="10"/>
      <c r="B74" s="12"/>
      <c r="C74" s="13"/>
      <c r="D74" s="10"/>
      <c r="E74" s="24" t="str">
        <f t="shared" si="2"/>
        <v/>
      </c>
      <c r="F74" s="10"/>
    </row>
    <row r="75" spans="1:6" x14ac:dyDescent="0.25">
      <c r="A75" s="10"/>
      <c r="B75" s="12"/>
      <c r="C75" s="13"/>
      <c r="D75" s="10"/>
      <c r="E75" s="24" t="str">
        <f t="shared" si="2"/>
        <v/>
      </c>
      <c r="F75" s="10"/>
    </row>
    <row r="76" spans="1:6" x14ac:dyDescent="0.25">
      <c r="A76" s="10"/>
      <c r="B76" s="12"/>
      <c r="C76" s="13"/>
      <c r="D76" s="10"/>
      <c r="E76" s="24" t="str">
        <f t="shared" si="2"/>
        <v/>
      </c>
      <c r="F76" s="10"/>
    </row>
    <row r="77" spans="1:6" x14ac:dyDescent="0.25">
      <c r="A77" s="10"/>
      <c r="B77" s="12"/>
      <c r="C77" s="13"/>
      <c r="D77" s="10"/>
      <c r="E77" s="24" t="str">
        <f t="shared" si="2"/>
        <v/>
      </c>
      <c r="F77" s="10"/>
    </row>
    <row r="78" spans="1:6" x14ac:dyDescent="0.25">
      <c r="A78" s="10"/>
      <c r="B78" s="12"/>
      <c r="C78" s="13"/>
      <c r="D78" s="10"/>
      <c r="E78" s="24" t="str">
        <f t="shared" si="2"/>
        <v/>
      </c>
      <c r="F78" s="10"/>
    </row>
    <row r="79" spans="1:6" x14ac:dyDescent="0.25">
      <c r="A79" s="10"/>
      <c r="B79" s="12"/>
      <c r="C79" s="13"/>
      <c r="D79" s="10"/>
      <c r="E79" s="24" t="str">
        <f t="shared" si="2"/>
        <v/>
      </c>
      <c r="F79" s="10"/>
    </row>
    <row r="80" spans="1:6" x14ac:dyDescent="0.25">
      <c r="A80" s="10"/>
      <c r="B80" s="12"/>
      <c r="C80" s="13"/>
      <c r="D80" s="10"/>
      <c r="E80" s="24" t="str">
        <f t="shared" si="2"/>
        <v/>
      </c>
      <c r="F80" s="10"/>
    </row>
    <row r="81" spans="1:6" x14ac:dyDescent="0.25">
      <c r="A81" s="10"/>
      <c r="B81" s="12"/>
      <c r="C81" s="13"/>
      <c r="D81" s="10"/>
      <c r="E81" s="24" t="str">
        <f t="shared" si="2"/>
        <v/>
      </c>
      <c r="F81" s="10"/>
    </row>
    <row r="82" spans="1:6" x14ac:dyDescent="0.25">
      <c r="A82" s="10"/>
      <c r="B82" s="12"/>
      <c r="C82" s="13"/>
      <c r="D82" s="10"/>
      <c r="E82" s="24" t="str">
        <f t="shared" si="2"/>
        <v/>
      </c>
      <c r="F82" s="10"/>
    </row>
    <row r="83" spans="1:6" x14ac:dyDescent="0.25">
      <c r="A83" s="10"/>
      <c r="B83" s="12"/>
      <c r="C83" s="13"/>
      <c r="D83" s="10"/>
      <c r="E83" s="24" t="str">
        <f t="shared" si="2"/>
        <v/>
      </c>
      <c r="F83" s="10"/>
    </row>
    <row r="84" spans="1:6" x14ac:dyDescent="0.25">
      <c r="A84" s="10"/>
      <c r="B84" s="12"/>
      <c r="C84" s="13"/>
      <c r="D84" s="10"/>
      <c r="E84" s="24" t="str">
        <f t="shared" si="2"/>
        <v/>
      </c>
      <c r="F84" s="10"/>
    </row>
    <row r="85" spans="1:6" x14ac:dyDescent="0.25">
      <c r="A85" s="10"/>
      <c r="B85" s="12"/>
      <c r="C85" s="13"/>
      <c r="D85" s="10"/>
      <c r="E85" s="24" t="str">
        <f t="shared" si="2"/>
        <v/>
      </c>
      <c r="F85" s="10"/>
    </row>
    <row r="86" spans="1:6" x14ac:dyDescent="0.25">
      <c r="A86" s="10"/>
      <c r="B86" s="12"/>
      <c r="C86" s="13"/>
      <c r="D86" s="10"/>
      <c r="E86" s="24" t="str">
        <f t="shared" si="2"/>
        <v/>
      </c>
      <c r="F86" s="10"/>
    </row>
    <row r="87" spans="1:6" x14ac:dyDescent="0.25">
      <c r="A87" s="10"/>
      <c r="B87" s="12"/>
      <c r="C87" s="13"/>
      <c r="D87" s="10"/>
      <c r="E87" s="24" t="str">
        <f t="shared" si="2"/>
        <v/>
      </c>
      <c r="F87" s="10"/>
    </row>
    <row r="88" spans="1:6" x14ac:dyDescent="0.25">
      <c r="A88" s="10"/>
      <c r="B88" s="12"/>
      <c r="C88" s="13"/>
      <c r="D88" s="10"/>
      <c r="E88" s="24" t="str">
        <f t="shared" si="2"/>
        <v/>
      </c>
      <c r="F88" s="10"/>
    </row>
    <row r="89" spans="1:6" x14ac:dyDescent="0.25">
      <c r="A89" s="10"/>
      <c r="B89" s="12"/>
      <c r="C89" s="13"/>
      <c r="D89" s="10"/>
      <c r="E89" s="24" t="str">
        <f t="shared" si="2"/>
        <v/>
      </c>
      <c r="F89" s="10"/>
    </row>
    <row r="90" spans="1:6" x14ac:dyDescent="0.25">
      <c r="A90" s="10"/>
      <c r="B90" s="12"/>
      <c r="C90" s="13"/>
      <c r="D90" s="10"/>
      <c r="E90" s="24" t="str">
        <f t="shared" si="2"/>
        <v/>
      </c>
      <c r="F90" s="10"/>
    </row>
    <row r="91" spans="1:6" x14ac:dyDescent="0.25">
      <c r="A91" s="10"/>
      <c r="B91" s="12"/>
      <c r="C91" s="13"/>
      <c r="D91" s="10"/>
      <c r="E91" s="24" t="str">
        <f t="shared" si="2"/>
        <v/>
      </c>
      <c r="F91" s="10"/>
    </row>
    <row r="92" spans="1:6" x14ac:dyDescent="0.25">
      <c r="A92" s="10"/>
      <c r="B92" s="12"/>
      <c r="C92" s="13"/>
      <c r="D92" s="10"/>
      <c r="E92" s="24" t="str">
        <f t="shared" si="2"/>
        <v/>
      </c>
      <c r="F92" s="10"/>
    </row>
    <row r="93" spans="1:6" x14ac:dyDescent="0.25">
      <c r="A93" s="10"/>
      <c r="B93" s="12"/>
      <c r="C93" s="13"/>
      <c r="D93" s="10"/>
      <c r="E93" s="24" t="str">
        <f t="shared" si="2"/>
        <v/>
      </c>
      <c r="F93" s="10"/>
    </row>
    <row r="94" spans="1:6" x14ac:dyDescent="0.25">
      <c r="A94" s="10"/>
      <c r="B94" s="12"/>
      <c r="C94" s="13"/>
      <c r="D94" s="10"/>
      <c r="E94" s="24" t="str">
        <f t="shared" si="2"/>
        <v/>
      </c>
      <c r="F94" s="10"/>
    </row>
    <row r="95" spans="1:6" x14ac:dyDescent="0.25">
      <c r="A95" s="10"/>
      <c r="B95" s="12"/>
      <c r="C95" s="13"/>
      <c r="D95" s="10"/>
      <c r="E95" s="24" t="str">
        <f t="shared" si="2"/>
        <v/>
      </c>
      <c r="F95" s="10"/>
    </row>
    <row r="96" spans="1:6" x14ac:dyDescent="0.25">
      <c r="A96" s="10"/>
      <c r="B96" s="12"/>
      <c r="C96" s="13"/>
      <c r="D96" s="10"/>
      <c r="E96" s="24" t="str">
        <f t="shared" si="2"/>
        <v/>
      </c>
      <c r="F96" s="10"/>
    </row>
    <row r="97" spans="1:6" x14ac:dyDescent="0.25">
      <c r="A97" s="10"/>
      <c r="B97" s="12"/>
      <c r="C97" s="13"/>
      <c r="D97" s="10"/>
      <c r="E97" s="24" t="str">
        <f t="shared" si="2"/>
        <v/>
      </c>
      <c r="F97" s="10"/>
    </row>
    <row r="98" spans="1:6" x14ac:dyDescent="0.25">
      <c r="A98" s="10"/>
      <c r="B98" s="12"/>
      <c r="C98" s="13"/>
      <c r="D98" s="10"/>
      <c r="E98" s="24" t="str">
        <f t="shared" si="2"/>
        <v/>
      </c>
      <c r="F98" s="10"/>
    </row>
    <row r="99" spans="1:6" x14ac:dyDescent="0.25">
      <c r="A99" s="10"/>
      <c r="B99" s="12"/>
      <c r="C99" s="13"/>
      <c r="D99" s="10"/>
      <c r="E99" s="24" t="str">
        <f t="shared" si="2"/>
        <v/>
      </c>
      <c r="F99" s="10"/>
    </row>
    <row r="100" spans="1:6" x14ac:dyDescent="0.25">
      <c r="A100" s="10"/>
      <c r="B100" s="12"/>
      <c r="C100" s="13"/>
      <c r="D100" s="10"/>
      <c r="E100" s="24" t="str">
        <f t="shared" si="2"/>
        <v/>
      </c>
      <c r="F100" s="10"/>
    </row>
    <row r="101" spans="1:6" x14ac:dyDescent="0.25">
      <c r="A101" s="10"/>
      <c r="B101" s="12"/>
      <c r="C101" s="13"/>
      <c r="D101" s="10"/>
      <c r="E101" s="24" t="str">
        <f t="shared" si="2"/>
        <v/>
      </c>
      <c r="F101" s="10"/>
    </row>
    <row r="102" spans="1:6" x14ac:dyDescent="0.25">
      <c r="A102" s="10"/>
      <c r="B102" s="12"/>
      <c r="C102" s="13"/>
      <c r="D102" s="10"/>
      <c r="E102" s="24" t="str">
        <f t="shared" si="2"/>
        <v/>
      </c>
      <c r="F102" s="10"/>
    </row>
    <row r="103" spans="1:6" x14ac:dyDescent="0.25">
      <c r="A103" s="10"/>
      <c r="B103" s="12"/>
      <c r="C103" s="13"/>
      <c r="D103" s="10"/>
      <c r="E103" s="24" t="str">
        <f t="shared" si="2"/>
        <v/>
      </c>
      <c r="F103" s="10"/>
    </row>
    <row r="104" spans="1:6" x14ac:dyDescent="0.25">
      <c r="A104" s="10"/>
      <c r="B104" s="12"/>
      <c r="C104" s="13"/>
      <c r="D104" s="10"/>
      <c r="E104" s="24" t="str">
        <f t="shared" si="2"/>
        <v/>
      </c>
      <c r="F104" s="10"/>
    </row>
  </sheetData>
  <sheetProtection sheet="1" formatColumns="0" formatRows="0"/>
  <dataValidations count="3">
    <dataValidation type="decimal" operator="greaterThanOrEqual" allowBlank="1" showErrorMessage="1" errorTitle="Valeur invalide" error="Saisissez un nombre positif ou nul." sqref="B5:B104" xr:uid="{00000000-0002-0000-0200-000000000000}">
      <formula1>0</formula1>
    </dataValidation>
    <dataValidation type="decimal" operator="greaterThan" allowBlank="1" showErrorMessage="1" errorTitle="Valeur invalide" error="Quantité du lot : saisissez un nombre supérieur à 0 (sinon le coût unitaire ne peut pas être calculé)." sqref="C5:C104" xr:uid="{00000000-0002-0000-0200-000001000000}">
      <formula1>0</formula1>
    </dataValidation>
    <dataValidation type="custom" allowBlank="1" showErrorMessage="1" errorTitle="Nom déjà utilisé" error="Ce nom existe déjà dans la bibliothèque : choisissez un nom unique." sqref="A5:A104" xr:uid="{00000000-0002-0000-0200-000002000000}">
      <formula1>COUNTIF($A$5:$A$104,A5)=1</formula1>
    </dataValidation>
  </dataValidations>
  <printOptions horizontalCentered="1"/>
  <pageMargins left="0.5" right="0.5" top="0.6" bottom="0.6" header="0.5" footer="0.5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5" width="17" customWidth="1"/>
  </cols>
  <sheetData>
    <row r="1" spans="1:5" ht="21" x14ac:dyDescent="0.35">
      <c r="A1" s="1" t="str">
        <f>"Fiche 1 : "&amp;IF(B3="","(produit à nommer)",B3)</f>
        <v>Fiche 1 : Bougie parfumée en pot 200 ml</v>
      </c>
    </row>
    <row r="3" spans="1:5" x14ac:dyDescent="0.25">
      <c r="A3" t="s">
        <v>153</v>
      </c>
      <c r="B3" s="10" t="s">
        <v>154</v>
      </c>
      <c r="C3" s="36"/>
      <c r="D3" s="35"/>
      <c r="E3" s="35"/>
    </row>
    <row r="4" spans="1:5" x14ac:dyDescent="0.25">
      <c r="A4" t="s">
        <v>155</v>
      </c>
      <c r="B4" s="17">
        <v>0.3</v>
      </c>
      <c r="C4" s="36" t="s">
        <v>156</v>
      </c>
      <c r="D4" s="35"/>
      <c r="E4" s="25">
        <f>1+B4</f>
        <v>1.3</v>
      </c>
    </row>
    <row r="5" spans="1:5" x14ac:dyDescent="0.25">
      <c r="A5" t="s">
        <v>157</v>
      </c>
      <c r="B5" s="17">
        <v>0.04</v>
      </c>
      <c r="C5" s="36" t="s">
        <v>158</v>
      </c>
      <c r="D5" s="35"/>
      <c r="E5" s="35"/>
    </row>
    <row r="6" spans="1:5" x14ac:dyDescent="0.25">
      <c r="A6" t="s">
        <v>159</v>
      </c>
      <c r="B6" s="13">
        <v>20</v>
      </c>
      <c r="C6" s="36" t="s">
        <v>160</v>
      </c>
      <c r="D6" s="35"/>
      <c r="E6" s="35"/>
    </row>
    <row r="7" spans="1:5" x14ac:dyDescent="0.25">
      <c r="A7" t="s">
        <v>161</v>
      </c>
      <c r="B7" s="12">
        <v>5</v>
      </c>
      <c r="C7" s="36" t="s">
        <v>162</v>
      </c>
      <c r="D7" s="35"/>
      <c r="E7" s="35"/>
    </row>
    <row r="8" spans="1:5" x14ac:dyDescent="0.25">
      <c r="A8" t="s">
        <v>163</v>
      </c>
      <c r="B8" s="12">
        <v>4.5999999999999996</v>
      </c>
      <c r="C8" s="36" t="s">
        <v>164</v>
      </c>
      <c r="D8" s="35"/>
      <c r="E8" s="35"/>
    </row>
    <row r="10" spans="1:5" x14ac:dyDescent="0.25">
      <c r="A10" s="34" t="s">
        <v>165</v>
      </c>
      <c r="B10" s="35"/>
      <c r="C10" s="35"/>
      <c r="D10" s="35"/>
      <c r="E10" s="35"/>
    </row>
    <row r="11" spans="1:5" x14ac:dyDescent="0.25">
      <c r="A11" s="26" t="s">
        <v>166</v>
      </c>
      <c r="B11" s="27" t="s">
        <v>114</v>
      </c>
      <c r="C11" s="27" t="s">
        <v>167</v>
      </c>
      <c r="D11" s="27" t="s">
        <v>168</v>
      </c>
      <c r="E11" s="27" t="s">
        <v>169</v>
      </c>
    </row>
    <row r="12" spans="1:5" x14ac:dyDescent="0.25">
      <c r="A12" s="10" t="s">
        <v>117</v>
      </c>
      <c r="B12" s="4" t="str">
        <f>IF(A12="","",IFERROR(INDEX(Matières!$D$5:$D$104,MATCH(A12,Matières!$A$5:$A$104,0)),"introuvable"))</f>
        <v>g</v>
      </c>
      <c r="C12" s="24">
        <f>IF(A12="","",IFERROR(INDEX(Matières!$E$5:$E$104,MATCH(A12,Matières!$A$5:$A$104,0)),"introuvable"))</f>
        <v>8.9999999999999993E-3</v>
      </c>
      <c r="D12" s="13">
        <v>180</v>
      </c>
      <c r="E12" s="28">
        <f t="shared" ref="E12:E21" si="0">IF(AND(ISNUMBER(C12),ISNUMBER(D12)),C12*D12,0)</f>
        <v>1.6199999999999999</v>
      </c>
    </row>
    <row r="13" spans="1:5" x14ac:dyDescent="0.25">
      <c r="A13" s="10" t="s">
        <v>120</v>
      </c>
      <c r="B13" s="4" t="str">
        <f>IF(A13="","",IFERROR(INDEX(Matières!$D$5:$D$104,MATCH(A13,Matières!$A$5:$A$104,0)),"introuvable"))</f>
        <v>g</v>
      </c>
      <c r="C13" s="24">
        <f>IF(A13="","",IFERROR(INDEX(Matières!$E$5:$E$104,MATCH(A13,Matières!$A$5:$A$104,0)),"introuvable"))</f>
        <v>0.08</v>
      </c>
      <c r="D13" s="13">
        <v>14.4</v>
      </c>
      <c r="E13" s="28">
        <f t="shared" si="0"/>
        <v>1.1520000000000001</v>
      </c>
    </row>
    <row r="14" spans="1:5" x14ac:dyDescent="0.25">
      <c r="A14" s="10" t="s">
        <v>122</v>
      </c>
      <c r="B14" s="4" t="str">
        <f>IF(A14="","",IFERROR(INDEX(Matières!$D$5:$D$104,MATCH(A14,Matières!$A$5:$A$104,0)),"introuvable"))</f>
        <v>pièce</v>
      </c>
      <c r="C14" s="24">
        <f>IF(A14="","",IFERROR(INDEX(Matières!$E$5:$E$104,MATCH(A14,Matières!$A$5:$A$104,0)),"introuvable"))</f>
        <v>0.1258</v>
      </c>
      <c r="D14" s="13">
        <v>1</v>
      </c>
      <c r="E14" s="28">
        <f t="shared" si="0"/>
        <v>0.1258</v>
      </c>
    </row>
    <row r="15" spans="1:5" x14ac:dyDescent="0.25">
      <c r="A15" s="10" t="s">
        <v>125</v>
      </c>
      <c r="B15" s="4" t="str">
        <f>IF(A15="","",IFERROR(INDEX(Matières!$D$5:$D$104,MATCH(A15,Matières!$A$5:$A$104,0)),"introuvable"))</f>
        <v>pièce</v>
      </c>
      <c r="C15" s="24">
        <f>IF(A15="","",IFERROR(INDEX(Matières!$E$5:$E$104,MATCH(A15,Matières!$A$5:$A$104,0)),"introuvable"))</f>
        <v>1.915</v>
      </c>
      <c r="D15" s="13">
        <v>1</v>
      </c>
      <c r="E15" s="28">
        <f t="shared" si="0"/>
        <v>1.915</v>
      </c>
    </row>
    <row r="16" spans="1:5" x14ac:dyDescent="0.25">
      <c r="A16" s="10" t="s">
        <v>127</v>
      </c>
      <c r="B16" s="4" t="str">
        <f>IF(A16="","",IFERROR(INDEX(Matières!$D$5:$D$104,MATCH(A16,Matières!$A$5:$A$104,0)),"introuvable"))</f>
        <v>pièce</v>
      </c>
      <c r="C16" s="24">
        <f>IF(A16="","",IFERROR(INDEX(Matières!$E$5:$E$104,MATCH(A16,Matières!$A$5:$A$104,0)),"introuvable"))</f>
        <v>0.12</v>
      </c>
      <c r="D16" s="13">
        <v>1</v>
      </c>
      <c r="E16" s="28">
        <f t="shared" si="0"/>
        <v>0.12</v>
      </c>
    </row>
    <row r="17" spans="1:5" x14ac:dyDescent="0.25">
      <c r="A17" s="10"/>
      <c r="B17" s="4" t="str">
        <f>IF(A17="","",IFERROR(INDEX(Matières!$D$5:$D$104,MATCH(A17,Matières!$A$5:$A$104,0)),"introuvable"))</f>
        <v/>
      </c>
      <c r="C17" s="24" t="str">
        <f>IF(A17="","",IFERROR(INDEX(Matières!$E$5:$E$104,MATCH(A17,Matières!$A$5:$A$104,0)),"introuvable"))</f>
        <v/>
      </c>
      <c r="D17" s="13"/>
      <c r="E17" s="28">
        <f t="shared" si="0"/>
        <v>0</v>
      </c>
    </row>
    <row r="18" spans="1:5" x14ac:dyDescent="0.25">
      <c r="A18" s="10"/>
      <c r="B18" s="4" t="str">
        <f>IF(A18="","",IFERROR(INDEX(Matières!$D$5:$D$104,MATCH(A18,Matières!$A$5:$A$104,0)),"introuvable"))</f>
        <v/>
      </c>
      <c r="C18" s="24" t="str">
        <f>IF(A18="","",IFERROR(INDEX(Matières!$E$5:$E$104,MATCH(A18,Matières!$A$5:$A$104,0)),"introuvable"))</f>
        <v/>
      </c>
      <c r="D18" s="13"/>
      <c r="E18" s="28">
        <f t="shared" si="0"/>
        <v>0</v>
      </c>
    </row>
    <row r="19" spans="1:5" x14ac:dyDescent="0.25">
      <c r="A19" s="10"/>
      <c r="B19" s="4" t="str">
        <f>IF(A19="","",IFERROR(INDEX(Matières!$D$5:$D$104,MATCH(A19,Matières!$A$5:$A$104,0)),"introuvable"))</f>
        <v/>
      </c>
      <c r="C19" s="24" t="str">
        <f>IF(A19="","",IFERROR(INDEX(Matières!$E$5:$E$104,MATCH(A19,Matières!$A$5:$A$104,0)),"introuvable"))</f>
        <v/>
      </c>
      <c r="D19" s="13"/>
      <c r="E19" s="28">
        <f t="shared" si="0"/>
        <v>0</v>
      </c>
    </row>
    <row r="20" spans="1:5" x14ac:dyDescent="0.25">
      <c r="A20" s="10"/>
      <c r="B20" s="4" t="str">
        <f>IF(A20="","",IFERROR(INDEX(Matières!$D$5:$D$104,MATCH(A20,Matières!$A$5:$A$104,0)),"introuvable"))</f>
        <v/>
      </c>
      <c r="C20" s="24" t="str">
        <f>IF(A20="","",IFERROR(INDEX(Matières!$E$5:$E$104,MATCH(A20,Matières!$A$5:$A$104,0)),"introuvable"))</f>
        <v/>
      </c>
      <c r="D20" s="13"/>
      <c r="E20" s="28">
        <f t="shared" si="0"/>
        <v>0</v>
      </c>
    </row>
    <row r="21" spans="1:5" x14ac:dyDescent="0.25">
      <c r="A21" s="10"/>
      <c r="B21" s="4" t="str">
        <f>IF(A21="","",IFERROR(INDEX(Matières!$D$5:$D$104,MATCH(A21,Matières!$A$5:$A$104,0)),"introuvable"))</f>
        <v/>
      </c>
      <c r="C21" s="24" t="str">
        <f>IF(A21="","",IFERROR(INDEX(Matières!$E$5:$E$104,MATCH(A21,Matières!$A$5:$A$104,0)),"introuvable"))</f>
        <v/>
      </c>
      <c r="D21" s="13"/>
      <c r="E21" s="28">
        <f t="shared" si="0"/>
        <v>0</v>
      </c>
    </row>
    <row r="22" spans="1:5" x14ac:dyDescent="0.25">
      <c r="A22" s="22" t="s">
        <v>170</v>
      </c>
      <c r="E22" s="29">
        <f>SUM(E12:E21)</f>
        <v>4.9328000000000003</v>
      </c>
    </row>
    <row r="23" spans="1:5" ht="27.95" customHeight="1" x14ac:dyDescent="0.25">
      <c r="A23" s="38" t="str">
        <f>IF(SUMPRODUCT((A12:A21&lt;&gt;"")*(1-ISNUMBER(C12:C21)))&gt;0,"ATTENTION : une ligne n'a pas de coût unitaire (onglet Matières : prix et quantité du lot, ou nom modifié). Elle compte pour 0 €.","")</f>
        <v/>
      </c>
      <c r="B23" s="35"/>
      <c r="C23" s="35"/>
      <c r="D23" s="35"/>
      <c r="E23" s="35"/>
    </row>
    <row r="24" spans="1:5" x14ac:dyDescent="0.25">
      <c r="A24" s="34" t="s">
        <v>171</v>
      </c>
      <c r="B24" s="35"/>
      <c r="C24" s="35"/>
      <c r="D24" s="35"/>
      <c r="E24" s="35"/>
    </row>
    <row r="25" spans="1:5" x14ac:dyDescent="0.25">
      <c r="A25" s="26" t="s">
        <v>172</v>
      </c>
      <c r="B25" s="27" t="s">
        <v>114</v>
      </c>
      <c r="C25" s="27" t="s">
        <v>167</v>
      </c>
      <c r="D25" s="27" t="s">
        <v>168</v>
      </c>
      <c r="E25" s="27" t="s">
        <v>169</v>
      </c>
    </row>
    <row r="26" spans="1:5" x14ac:dyDescent="0.25">
      <c r="A26" s="10"/>
      <c r="B26" s="4" t="str">
        <f>IF(A26="","",IFERROR(INDEX(Matières!$D$5:$D$104,MATCH(A26,Matières!$A$5:$A$104,0)),"introuvable"))</f>
        <v/>
      </c>
      <c r="C26" s="24" t="str">
        <f>IF(A26="","",IFERROR(INDEX(Matières!$E$5:$E$104,MATCH(A26,Matières!$A$5:$A$104,0)),"introuvable"))</f>
        <v/>
      </c>
      <c r="D26" s="13"/>
      <c r="E26" s="28">
        <f>IF(AND(ISNUMBER(C26),ISNUMBER(D26)),C26*D26,0)</f>
        <v>0</v>
      </c>
    </row>
    <row r="27" spans="1:5" x14ac:dyDescent="0.25">
      <c r="A27" s="10"/>
      <c r="B27" s="4" t="str">
        <f>IF(A27="","",IFERROR(INDEX(Matières!$D$5:$D$104,MATCH(A27,Matières!$A$5:$A$104,0)),"introuvable"))</f>
        <v/>
      </c>
      <c r="C27" s="24" t="str">
        <f>IF(A27="","",IFERROR(INDEX(Matières!$E$5:$E$104,MATCH(A27,Matières!$A$5:$A$104,0)),"introuvable"))</f>
        <v/>
      </c>
      <c r="D27" s="13"/>
      <c r="E27" s="28">
        <f>IF(AND(ISNUMBER(C27),ISNUMBER(D27)),C27*D27,0)</f>
        <v>0</v>
      </c>
    </row>
    <row r="28" spans="1:5" x14ac:dyDescent="0.25">
      <c r="A28" s="10"/>
      <c r="B28" s="4" t="str">
        <f>IF(A28="","",IFERROR(INDEX(Matières!$D$5:$D$104,MATCH(A28,Matières!$A$5:$A$104,0)),"introuvable"))</f>
        <v/>
      </c>
      <c r="C28" s="24" t="str">
        <f>IF(A28="","",IFERROR(INDEX(Matières!$E$5:$E$104,MATCH(A28,Matières!$A$5:$A$104,0)),"introuvable"))</f>
        <v/>
      </c>
      <c r="D28" s="13"/>
      <c r="E28" s="28">
        <f>IF(AND(ISNUMBER(C28),ISNUMBER(D28)),C28*D28,0)</f>
        <v>0</v>
      </c>
    </row>
    <row r="29" spans="1:5" x14ac:dyDescent="0.25">
      <c r="A29" s="10"/>
      <c r="B29" s="4" t="str">
        <f>IF(A29="","",IFERROR(INDEX(Matières!$D$5:$D$104,MATCH(A29,Matières!$A$5:$A$104,0)),"introuvable"))</f>
        <v/>
      </c>
      <c r="C29" s="24" t="str">
        <f>IF(A29="","",IFERROR(INDEX(Matières!$E$5:$E$104,MATCH(A29,Matières!$A$5:$A$104,0)),"introuvable"))</f>
        <v/>
      </c>
      <c r="D29" s="13"/>
      <c r="E29" s="28">
        <f>IF(AND(ISNUMBER(C29),ISNUMBER(D29)),C29*D29,0)</f>
        <v>0</v>
      </c>
    </row>
    <row r="30" spans="1:5" x14ac:dyDescent="0.25">
      <c r="A30" s="10"/>
      <c r="B30" s="4" t="str">
        <f>IF(A30="","",IFERROR(INDEX(Matières!$D$5:$D$104,MATCH(A30,Matières!$A$5:$A$104,0)),"introuvable"))</f>
        <v/>
      </c>
      <c r="C30" s="24" t="str">
        <f>IF(A30="","",IFERROR(INDEX(Matières!$E$5:$E$104,MATCH(A30,Matières!$A$5:$A$104,0)),"introuvable"))</f>
        <v/>
      </c>
      <c r="D30" s="13"/>
      <c r="E30" s="28">
        <f>IF(AND(ISNUMBER(C30),ISNUMBER(D30)),C30*D30,0)</f>
        <v>0</v>
      </c>
    </row>
    <row r="31" spans="1:5" x14ac:dyDescent="0.25">
      <c r="A31" s="22" t="s">
        <v>173</v>
      </c>
      <c r="E31" s="29">
        <f>SUM(E26:E30)</f>
        <v>0</v>
      </c>
    </row>
    <row r="32" spans="1:5" ht="27.95" customHeight="1" x14ac:dyDescent="0.25">
      <c r="A32" s="38" t="str">
        <f>IF(SUMPRODUCT((A26:A30&lt;&gt;"")*(1-ISNUMBER(C26:C30)))&gt;0,"ATTENTION : une ligne n'a pas de coût unitaire (onglet Matières : prix et quantité du lot, ou nom modifié). Elle compte pour 0 €.","")</f>
        <v/>
      </c>
      <c r="B32" s="35"/>
      <c r="C32" s="35"/>
      <c r="D32" s="35"/>
      <c r="E32" s="35"/>
    </row>
    <row r="33" spans="1:5" x14ac:dyDescent="0.25">
      <c r="A33" s="34" t="s">
        <v>174</v>
      </c>
      <c r="B33" s="35"/>
      <c r="C33" s="35"/>
      <c r="D33" s="35"/>
      <c r="E33" s="35"/>
    </row>
    <row r="34" spans="1:5" x14ac:dyDescent="0.25">
      <c r="A34" t="s">
        <v>175</v>
      </c>
      <c r="B34" s="14">
        <f>IF(B5&lt;1,E22/(1-B5),E22)</f>
        <v>5.1383333333333336</v>
      </c>
      <c r="C34" s="36" t="s">
        <v>176</v>
      </c>
      <c r="D34" s="35"/>
      <c r="E34" s="35"/>
    </row>
    <row r="35" spans="1:5" x14ac:dyDescent="0.25">
      <c r="A35" t="s">
        <v>171</v>
      </c>
      <c r="B35" s="14">
        <f>E31</f>
        <v>0</v>
      </c>
      <c r="C35" s="36"/>
      <c r="D35" s="35"/>
      <c r="E35" s="35"/>
    </row>
    <row r="36" spans="1:5" x14ac:dyDescent="0.25">
      <c r="A36" t="s">
        <v>177</v>
      </c>
      <c r="B36" s="14">
        <f>IF(ISNUMBER(B6),B6/60*Paramètres!$C$10,0)</f>
        <v>5</v>
      </c>
      <c r="C36" s="36" t="s">
        <v>178</v>
      </c>
      <c r="D36" s="35"/>
      <c r="E36" s="35"/>
    </row>
    <row r="37" spans="1:5" x14ac:dyDescent="0.25">
      <c r="A37" t="s">
        <v>179</v>
      </c>
      <c r="B37" s="14">
        <f>Paramètres!$C$14</f>
        <v>1.5</v>
      </c>
      <c r="C37" s="36" t="s">
        <v>180</v>
      </c>
      <c r="D37" s="35"/>
      <c r="E37" s="35"/>
    </row>
    <row r="38" spans="1:5" x14ac:dyDescent="0.25">
      <c r="A38" s="22" t="s">
        <v>181</v>
      </c>
      <c r="B38" s="16">
        <f>SUM(B34:B37)</f>
        <v>11.638333333333334</v>
      </c>
      <c r="C38" s="36" t="s">
        <v>182</v>
      </c>
      <c r="D38" s="35"/>
      <c r="E38" s="35"/>
    </row>
    <row r="39" spans="1:5" x14ac:dyDescent="0.25">
      <c r="A39" t="s">
        <v>183</v>
      </c>
      <c r="B39" s="14">
        <f>B38*B4</f>
        <v>3.4914999999999998</v>
      </c>
      <c r="C39" s="36" t="s">
        <v>184</v>
      </c>
      <c r="D39" s="35"/>
      <c r="E39" s="35"/>
    </row>
    <row r="40" spans="1:5" x14ac:dyDescent="0.25">
      <c r="A40" s="22" t="s">
        <v>185</v>
      </c>
      <c r="B40" s="16">
        <f>B38+B39</f>
        <v>15.129833333333334</v>
      </c>
      <c r="C40" s="36" t="s">
        <v>186</v>
      </c>
      <c r="D40" s="35"/>
      <c r="E40" s="35"/>
    </row>
    <row r="42" spans="1:5" x14ac:dyDescent="0.25">
      <c r="A42" s="34" t="s">
        <v>187</v>
      </c>
      <c r="B42" s="35"/>
      <c r="C42" s="35"/>
      <c r="D42" s="35"/>
      <c r="E42" s="35"/>
    </row>
    <row r="43" spans="1:5" x14ac:dyDescent="0.25">
      <c r="A43" s="26"/>
      <c r="B43" s="27" t="s">
        <v>188</v>
      </c>
      <c r="C43" s="27" t="s">
        <v>189</v>
      </c>
      <c r="D43" s="27" t="s">
        <v>190</v>
      </c>
      <c r="E43" s="27" t="s">
        <v>191</v>
      </c>
    </row>
    <row r="44" spans="1:5" x14ac:dyDescent="0.25">
      <c r="A44" s="30" t="s">
        <v>192</v>
      </c>
      <c r="B44" s="18">
        <f>Paramètres!$C$22</f>
        <v>0</v>
      </c>
      <c r="C44" s="18" t="str">
        <f>IF(AND(ISNUMBER(Paramètres!$C$34),ISNUMBER(Paramètres!$C$35)),Paramètres!$C$34,"À renseigner")</f>
        <v>À renseigner</v>
      </c>
      <c r="D44" s="18">
        <f>Paramètres!$C$37</f>
        <v>0.3</v>
      </c>
      <c r="E44" s="18">
        <f>0</f>
        <v>0</v>
      </c>
    </row>
    <row r="45" spans="1:5" x14ac:dyDescent="0.25">
      <c r="A45" s="30" t="s">
        <v>193</v>
      </c>
      <c r="B45" s="14">
        <f>Paramètres!$C$23</f>
        <v>0</v>
      </c>
      <c r="C45" s="14" t="str">
        <f>IF(AND(ISNUMBER(Paramètres!$C$34),ISNUMBER(Paramètres!$C$35)),Paramètres!$C$35,"À renseigner")</f>
        <v>À renseigner</v>
      </c>
      <c r="D45" s="14">
        <f>0</f>
        <v>0</v>
      </c>
      <c r="E45" s="14">
        <f>0</f>
        <v>0</v>
      </c>
    </row>
    <row r="46" spans="1:5" x14ac:dyDescent="0.25">
      <c r="A46" s="30" t="s">
        <v>194</v>
      </c>
      <c r="B46" s="14">
        <f>0</f>
        <v>0</v>
      </c>
      <c r="C46" s="14" t="str">
        <f>IF(AND(ISNUMBER(Paramètres!$C$34),ISNUMBER(Paramètres!$C$35)),$B$8,"À renseigner")</f>
        <v>À renseigner</v>
      </c>
      <c r="D46" s="14">
        <f>0</f>
        <v>0</v>
      </c>
      <c r="E46" s="14">
        <f>0</f>
        <v>0</v>
      </c>
    </row>
    <row r="47" spans="1:5" x14ac:dyDescent="0.25">
      <c r="A47" s="30" t="s">
        <v>195</v>
      </c>
      <c r="B47" s="14">
        <f>0</f>
        <v>0</v>
      </c>
      <c r="C47" s="14" t="str">
        <f>IF(AND(ISNUMBER(Paramètres!$C$34),ISNUMBER(Paramètres!$C$35)),$B$7,"À renseigner")</f>
        <v>À renseigner</v>
      </c>
      <c r="D47" s="14">
        <f>0</f>
        <v>0</v>
      </c>
      <c r="E47" s="14">
        <f>0</f>
        <v>0</v>
      </c>
    </row>
    <row r="48" spans="1:5" x14ac:dyDescent="0.25">
      <c r="A48" s="30" t="s">
        <v>196</v>
      </c>
      <c r="B48" s="18">
        <f>Paramètres!$C$20-B44</f>
        <v>0.877</v>
      </c>
      <c r="C48" s="18" t="str">
        <f>IF(AND(ISNUMBER(Paramètres!$C$34),ISNUMBER(Paramètres!$C$35)),Paramètres!$C$20-C44,"À renseigner")</f>
        <v>À renseigner</v>
      </c>
      <c r="D48" s="18">
        <f>Paramètres!$C$20-D44</f>
        <v>0.57699999999999996</v>
      </c>
      <c r="E48" s="18">
        <f>1-Paramètres!$C$16</f>
        <v>0.877</v>
      </c>
    </row>
    <row r="49" spans="1:5" x14ac:dyDescent="0.25">
      <c r="A49" s="30" t="s">
        <v>197</v>
      </c>
      <c r="B49" s="16">
        <f>IF(B48&gt;0,($B$38+B45+B46)/B48-B47,"Taux trop élevés")</f>
        <v>13.270619536297986</v>
      </c>
      <c r="C49" s="16" t="str">
        <f>IF(AND(ISNUMBER(Paramètres!$C$34),ISNUMBER(Paramètres!$C$35)),IF(C48&gt;0,($B$38+C45+C46)/C48-C47,"Taux trop élevés"),"À renseigner")</f>
        <v>À renseigner</v>
      </c>
      <c r="D49" s="16">
        <f>IF(D48&gt;0,($B$38+D45+D46)/D48-D47,"Taux trop élevés")</f>
        <v>20.170421721548241</v>
      </c>
      <c r="E49" s="16">
        <f>IF(E48&gt;0,$B$38/E48,"Taux trop élevés")</f>
        <v>13.270619536297986</v>
      </c>
    </row>
    <row r="50" spans="1:5" ht="57.95" customHeight="1" x14ac:dyDescent="0.25">
      <c r="A50" s="31" t="s">
        <v>198</v>
      </c>
      <c r="B50" s="16">
        <f>IF(B48&gt;0,($B$40+B45+B46)/B48-B47,"Taux trop élevés")</f>
        <v>17.251805397187383</v>
      </c>
      <c r="C50" s="16" t="str">
        <f>IF(AND(ISNUMBER(Paramètres!$C$34),ISNUMBER(Paramètres!$C$35)),IF(C48&gt;0,($B$40+C45+C46)/C48-C47,"Taux trop élevés"),"À renseigner")</f>
        <v>À renseigner</v>
      </c>
      <c r="D50" s="16">
        <f>IF(D48&gt;0,($B$40+D45+D46)/D48-D47,"Taux trop élevés")</f>
        <v>26.221548238012712</v>
      </c>
      <c r="E50" s="16">
        <f>IF(NOT(ISNUMBER(B50)),"Taux trop élevés",IF(N(Paramètres!$C$39)&gt;0,B50/Paramètres!$C$39,"Coefficient boutique manquant"))</f>
        <v>7.8417297259942638</v>
      </c>
    </row>
    <row r="51" spans="1:5" ht="30" customHeight="1" x14ac:dyDescent="0.25">
      <c r="A51" s="30" t="s">
        <v>199</v>
      </c>
      <c r="B51" s="14"/>
      <c r="C51" s="14"/>
      <c r="D51" s="14"/>
      <c r="E51" s="16">
        <f>IF(ISNUMBER(B50),B50,"Taux trop élevés")</f>
        <v>17.251805397187383</v>
      </c>
    </row>
    <row r="52" spans="1:5" ht="30" customHeight="1" x14ac:dyDescent="0.25">
      <c r="A52" s="30" t="s">
        <v>200</v>
      </c>
      <c r="B52" s="14"/>
      <c r="C52" s="14"/>
      <c r="D52" s="14"/>
      <c r="E52" s="14">
        <f>IF(ISNUMBER(E49),E49*Paramètres!$C$39,"Taux trop élevés")</f>
        <v>29.19536297985557</v>
      </c>
    </row>
    <row r="53" spans="1:5" ht="30" customHeight="1" x14ac:dyDescent="0.25">
      <c r="A53" s="30" t="s">
        <v>201</v>
      </c>
      <c r="B53" s="14"/>
      <c r="C53" s="14"/>
      <c r="D53" s="14"/>
      <c r="E53" s="14">
        <f>IF(E48&gt;0,$B$40/E48*Paramètres!$C$39,"Taux trop élevés")</f>
        <v>37.953971873812243</v>
      </c>
    </row>
    <row r="55" spans="1:5" x14ac:dyDescent="0.25">
      <c r="A55" s="34" t="s">
        <v>202</v>
      </c>
      <c r="B55" s="35"/>
      <c r="C55" s="35"/>
      <c r="D55" s="35"/>
      <c r="E55" s="35"/>
    </row>
    <row r="56" spans="1:5" x14ac:dyDescent="0.25">
      <c r="A56" t="s">
        <v>203</v>
      </c>
      <c r="B56" s="14">
        <f>IF(ISNUMBER(B50),B50+B47,0)</f>
        <v>17.251805397187383</v>
      </c>
      <c r="C56" s="14" t="str">
        <f>IF(AND(ISNUMBER(Paramètres!$C$34),ISNUMBER(Paramètres!$C$35)),IF(ISNUMBER(C50),C50+C47,0),"À renseigner")</f>
        <v>À renseigner</v>
      </c>
      <c r="D56" s="14">
        <f>IF(ISNUMBER(D50),D50+D47,0)</f>
        <v>26.221548238012712</v>
      </c>
      <c r="E56" s="14">
        <f>IF(ISNUMBER(E50),E50*(1+Paramètres!$C$19),0)</f>
        <v>7.8417297259942638</v>
      </c>
    </row>
    <row r="57" spans="1:5" x14ac:dyDescent="0.25">
      <c r="A57" t="s">
        <v>204</v>
      </c>
      <c r="B57" s="14">
        <f>B56-B56/(1+Paramètres!$C$19)</f>
        <v>0</v>
      </c>
      <c r="C57" s="14" t="str">
        <f>IF(AND(ISNUMBER(Paramètres!$C$34),ISNUMBER(Paramètres!$C$35)),C56-C56/(1+Paramètres!$C$19),"À renseigner")</f>
        <v>À renseigner</v>
      </c>
      <c r="D57" s="14">
        <f>D56-D56/(1+Paramètres!$C$19)</f>
        <v>0</v>
      </c>
      <c r="E57" s="14">
        <f>E56-E56/(1+Paramètres!$C$19)</f>
        <v>0</v>
      </c>
    </row>
    <row r="58" spans="1:5" x14ac:dyDescent="0.25">
      <c r="A58" t="s">
        <v>205</v>
      </c>
      <c r="B58" s="14">
        <f>Paramètres!$C$16*B56/(1+Paramètres!$C$19)</f>
        <v>2.1219720638540482</v>
      </c>
      <c r="C58" s="14" t="str">
        <f>IF(AND(ISNUMBER(Paramètres!$C$34),ISNUMBER(Paramètres!$C$35)),Paramètres!$C$16*C56/(1+Paramètres!$C$19),"À renseigner")</f>
        <v>À renseigner</v>
      </c>
      <c r="D58" s="14">
        <f>Paramètres!$C$16*D56/(1+Paramètres!$C$19)</f>
        <v>3.2252504332755634</v>
      </c>
      <c r="E58" s="14">
        <f>Paramètres!$C$16*E56/(1+Paramètres!$C$19)</f>
        <v>0.9645327562972944</v>
      </c>
    </row>
    <row r="59" spans="1:5" x14ac:dyDescent="0.25">
      <c r="A59" t="s">
        <v>206</v>
      </c>
      <c r="B59" s="14">
        <f>B44*B56+IF(B56&gt;0,B45,0)</f>
        <v>0</v>
      </c>
      <c r="C59" s="14" t="str">
        <f>IF(AND(ISNUMBER(Paramètres!$C$34),ISNUMBER(Paramètres!$C$35)),C44*C56+IF(C56&gt;0,C45,0),"À renseigner")</f>
        <v>À renseigner</v>
      </c>
      <c r="D59" s="14">
        <f>D44*D56+IF(D56&gt;0,D45,0)</f>
        <v>7.8664644714038134</v>
      </c>
      <c r="E59" s="14">
        <f>E44*E56+IF(E56&gt;0,E45,0)</f>
        <v>0</v>
      </c>
    </row>
    <row r="60" spans="1:5" x14ac:dyDescent="0.25">
      <c r="A60" t="s">
        <v>207</v>
      </c>
      <c r="B60" s="14">
        <f>IF(B56&gt;0,B46,0)</f>
        <v>0</v>
      </c>
      <c r="C60" s="14" t="str">
        <f>IF(AND(ISNUMBER(Paramètres!$C$34),ISNUMBER(Paramètres!$C$35)),IF(C56&gt;0,C46,0),"À renseigner")</f>
        <v>À renseigner</v>
      </c>
      <c r="D60" s="14">
        <f>IF(D56&gt;0,D46,0)</f>
        <v>0</v>
      </c>
      <c r="E60" s="14">
        <f>IF(E56&gt;0,E46,0)</f>
        <v>0</v>
      </c>
    </row>
    <row r="61" spans="1:5" x14ac:dyDescent="0.25">
      <c r="A61" s="22" t="s">
        <v>208</v>
      </c>
      <c r="B61" s="16">
        <f>B56-B57-B58-B59-B60</f>
        <v>15.129833333333334</v>
      </c>
      <c r="C61" s="16" t="str">
        <f>IF(AND(ISNUMBER(Paramètres!$C$34),ISNUMBER(Paramètres!$C$35)),C56-C57-C58-C59-C60,"À renseigner")</f>
        <v>À renseigner</v>
      </c>
      <c r="D61" s="16">
        <f>D56-D57-D58-D59-D60</f>
        <v>15.129833333333337</v>
      </c>
      <c r="E61" s="16">
        <f>E56-E57-E58-E59-E60</f>
        <v>6.8771969696969695</v>
      </c>
    </row>
    <row r="62" spans="1:5" x14ac:dyDescent="0.25">
      <c r="A62" t="s">
        <v>209</v>
      </c>
      <c r="B62" s="14">
        <f>B61-$B$38</f>
        <v>3.4915000000000003</v>
      </c>
      <c r="C62" s="14" t="str">
        <f>IF(AND(ISNUMBER(Paramètres!$C$34),ISNUMBER(Paramètres!$C$35)),C61-$B$38,"À renseigner")</f>
        <v>À renseigner</v>
      </c>
      <c r="D62" s="14">
        <f>D61-$B$38</f>
        <v>3.4915000000000038</v>
      </c>
      <c r="E62" s="14">
        <f>E61-$B$38</f>
        <v>-4.7611363636363642</v>
      </c>
    </row>
    <row r="63" spans="1:5" ht="63.95" customHeight="1" x14ac:dyDescent="0.25">
      <c r="A63" t="s">
        <v>210</v>
      </c>
      <c r="B63" s="32" t="str">
        <f>IF(ISNUMBER(B50),IF(ABS(B61-$B$40)&lt;0.005,"OK : net = net visé","Écart à vérifier"),"Taux trop élevés")</f>
        <v>OK : net = net visé</v>
      </c>
      <c r="C63" s="32" t="str">
        <f>IF(AND(ISNUMBER(Paramètres!$C$34),ISNUMBER(Paramètres!$C$35)),IF(ISNUMBER(C50),IF(ABS(C61-$B$40)&lt;0.005,"OK : net = net visé","Écart à vérifier"),"Taux trop élevés"),"À renseigner")</f>
        <v>À renseigner</v>
      </c>
      <c r="D63" s="32" t="str">
        <f>IF(ISNUMBER(D50),IF(ABS(D61-$B$40)&lt;0.005,"OK : net = net visé","Écart à vérifier"),"Taux trop élevés")</f>
        <v>OK : net = net visé</v>
      </c>
      <c r="E63" s="33" t="str">
        <f>IF(AND(ISNUMBER(E49),ISNUMBER(E50)),IF(E50&lt;E49,"ATTENTION : prix de gros à perte, vous perdez de l'argent sur chaque vente (ligne 62). Montez votre prix public (ligne 52 ou 53).","OK : au-dessus du minimum"),IF(ISTEXT(E50),E50,"Taux trop élevés"))</f>
        <v>ATTENTION : prix de gros à perte, vous perdez de l'argent sur chaque vente (ligne 62). Montez votre prix public (ligne 52 ou 53).</v>
      </c>
    </row>
    <row r="65" spans="1:5" x14ac:dyDescent="0.25">
      <c r="A65" s="36" t="str">
        <f>IF(Paramètres!$C$17="Oui","Prix TTC : la TVA collectée est reversée à l'État.","Franchise en base de TVA : « TVA non applicable, art. 293 B du CGI ».")</f>
        <v>Franchise en base de TVA : « TVA non applicable, art. 293 B du CGI ».</v>
      </c>
      <c r="B65" s="35"/>
      <c r="C65" s="35"/>
      <c r="D65" s="35"/>
      <c r="E65" s="35"/>
    </row>
    <row r="66" spans="1:5" x14ac:dyDescent="0.25">
      <c r="A66" s="37" t="s">
        <v>211</v>
      </c>
      <c r="B66" s="35"/>
      <c r="C66" s="35"/>
      <c r="D66" s="35"/>
      <c r="E66" s="35"/>
    </row>
    <row r="67" spans="1:5" x14ac:dyDescent="0.25">
      <c r="A67" s="35"/>
      <c r="B67" s="35"/>
      <c r="C67" s="35"/>
      <c r="D67" s="35"/>
      <c r="E67" s="35"/>
    </row>
    <row r="68" spans="1:5" x14ac:dyDescent="0.25">
      <c r="A68" s="35"/>
      <c r="B68" s="35"/>
      <c r="C68" s="35"/>
      <c r="D68" s="35"/>
      <c r="E68" s="35"/>
    </row>
  </sheetData>
  <sheetProtection sheet="1" formatColumns="0" formatRows="0"/>
  <mergeCells count="22">
    <mergeCell ref="C3:E3"/>
    <mergeCell ref="A23:E23"/>
    <mergeCell ref="A32:E32"/>
    <mergeCell ref="C34:E34"/>
    <mergeCell ref="C6:E6"/>
    <mergeCell ref="C5:E5"/>
    <mergeCell ref="A10:E10"/>
    <mergeCell ref="A66:E68"/>
    <mergeCell ref="C7:E7"/>
    <mergeCell ref="C38:E38"/>
    <mergeCell ref="A55:E55"/>
    <mergeCell ref="C37:E37"/>
    <mergeCell ref="A42:E42"/>
    <mergeCell ref="A33:E33"/>
    <mergeCell ref="C35:E35"/>
    <mergeCell ref="A24:E24"/>
    <mergeCell ref="C40:E40"/>
    <mergeCell ref="C4:D4"/>
    <mergeCell ref="C36:E36"/>
    <mergeCell ref="A65:E65"/>
    <mergeCell ref="C39:E39"/>
    <mergeCell ref="C8:E8"/>
  </mergeCells>
  <conditionalFormatting sqref="B63:E63">
    <cfRule type="expression" dxfId="9" priority="1">
      <formula>LEFT(B63,2)&lt;&gt;"OK"</formula>
    </cfRule>
  </conditionalFormatting>
  <conditionalFormatting sqref="E50 E62">
    <cfRule type="expression" dxfId="8" priority="2">
      <formula>AND(ISNUMBER($E$50),ISNUMBER($E$49),$E$50&lt;$E$49)</formula>
    </cfRule>
  </conditionalFormatting>
  <dataValidations count="2">
    <dataValidation type="decimal" operator="greaterThanOrEqual" allowBlank="1" showErrorMessage="1" errorTitle="Valeur invalide" error="Saisissez un nombre positif ou nul." sqref="B4 D26:D30 D12:D21 B6:B8" xr:uid="{00000000-0002-0000-0300-000000000000}">
      <formula1>0</formula1>
    </dataValidation>
    <dataValidation type="custom" allowBlank="1" showErrorMessage="1" errorTitle="Taux invalide" error="Saisissez un pourcentage entre 0 % et 99,99 % (strictement inférieur à 100 %)." sqref="B5" xr:uid="{00000000-0002-0000-0300-000001000000}">
      <formula1>AND(ISNUMBER(B5),B5&gt;=0,B5&lt;1)</formula1>
    </dataValidation>
  </dataValidations>
  <printOptions horizontalCentered="1"/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hoix invalide" error="Choisissez une valeur dans la liste." xr:uid="{00000000-0002-0000-0300-000005000000}">
          <x14:formula1>
            <xm:f>Matières!$A$5:$A$104</xm:f>
          </x14:formula1>
          <xm:sqref>A12:A21 A26:A30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5" width="17" customWidth="1"/>
  </cols>
  <sheetData>
    <row r="1" spans="1:5" ht="21" x14ac:dyDescent="0.35">
      <c r="A1" s="1" t="str">
        <f>"Fiche 2 : "&amp;IF(B3="","(produit à nommer)",B3)</f>
        <v>Fiche 2 : Bracelet chaîne et perles</v>
      </c>
    </row>
    <row r="3" spans="1:5" x14ac:dyDescent="0.25">
      <c r="A3" t="s">
        <v>153</v>
      </c>
      <c r="B3" s="10" t="s">
        <v>212</v>
      </c>
      <c r="C3" s="36"/>
      <c r="D3" s="35"/>
      <c r="E3" s="35"/>
    </row>
    <row r="4" spans="1:5" x14ac:dyDescent="0.25">
      <c r="A4" t="s">
        <v>155</v>
      </c>
      <c r="B4" s="17">
        <v>0.4</v>
      </c>
      <c r="C4" s="36" t="s">
        <v>156</v>
      </c>
      <c r="D4" s="35"/>
      <c r="E4" s="25">
        <f>1+B4</f>
        <v>1.4</v>
      </c>
    </row>
    <row r="5" spans="1:5" x14ac:dyDescent="0.25">
      <c r="A5" t="s">
        <v>157</v>
      </c>
      <c r="B5" s="17">
        <v>0.03</v>
      </c>
      <c r="C5" s="36" t="s">
        <v>158</v>
      </c>
      <c r="D5" s="35"/>
      <c r="E5" s="35"/>
    </row>
    <row r="6" spans="1:5" x14ac:dyDescent="0.25">
      <c r="A6" t="s">
        <v>159</v>
      </c>
      <c r="B6" s="13">
        <v>30</v>
      </c>
      <c r="C6" s="36" t="s">
        <v>160</v>
      </c>
      <c r="D6" s="35"/>
      <c r="E6" s="35"/>
    </row>
    <row r="7" spans="1:5" x14ac:dyDescent="0.25">
      <c r="A7" t="s">
        <v>161</v>
      </c>
      <c r="B7" s="12">
        <v>0</v>
      </c>
      <c r="C7" s="36" t="s">
        <v>162</v>
      </c>
      <c r="D7" s="35"/>
      <c r="E7" s="35"/>
    </row>
    <row r="8" spans="1:5" x14ac:dyDescent="0.25">
      <c r="A8" t="s">
        <v>163</v>
      </c>
      <c r="B8" s="12">
        <v>0</v>
      </c>
      <c r="C8" s="36" t="s">
        <v>164</v>
      </c>
      <c r="D8" s="35"/>
      <c r="E8" s="35"/>
    </row>
    <row r="10" spans="1:5" x14ac:dyDescent="0.25">
      <c r="A10" s="34" t="s">
        <v>165</v>
      </c>
      <c r="B10" s="35"/>
      <c r="C10" s="35"/>
      <c r="D10" s="35"/>
      <c r="E10" s="35"/>
    </row>
    <row r="11" spans="1:5" x14ac:dyDescent="0.25">
      <c r="A11" s="26" t="s">
        <v>166</v>
      </c>
      <c r="B11" s="27" t="s">
        <v>114</v>
      </c>
      <c r="C11" s="27" t="s">
        <v>167</v>
      </c>
      <c r="D11" s="27" t="s">
        <v>168</v>
      </c>
      <c r="E11" s="27" t="s">
        <v>169</v>
      </c>
    </row>
    <row r="12" spans="1:5" x14ac:dyDescent="0.25">
      <c r="A12" s="10" t="s">
        <v>131</v>
      </c>
      <c r="B12" s="4" t="str">
        <f>IF(A12="","",IFERROR(INDEX(Matières!$D$5:$D$104,MATCH(A12,Matières!$A$5:$A$104,0)),"introuvable"))</f>
        <v>cm</v>
      </c>
      <c r="C12" s="24">
        <f>IF(A12="","",IFERROR(INDEX(Matières!$E$5:$E$104,MATCH(A12,Matières!$A$5:$A$104,0)),"introuvable"))</f>
        <v>9.0000000000000011E-3</v>
      </c>
      <c r="D12" s="13">
        <v>18</v>
      </c>
      <c r="E12" s="28">
        <f t="shared" ref="E12:E21" si="0">IF(AND(ISNUMBER(C12),ISNUMBER(D12)),C12*D12,0)</f>
        <v>0.16200000000000003</v>
      </c>
    </row>
    <row r="13" spans="1:5" x14ac:dyDescent="0.25">
      <c r="A13" s="10" t="s">
        <v>134</v>
      </c>
      <c r="B13" s="4" t="str">
        <f>IF(A13="","",IFERROR(INDEX(Matières!$D$5:$D$104,MATCH(A13,Matières!$A$5:$A$104,0)),"introuvable"))</f>
        <v>pièce</v>
      </c>
      <c r="C13" s="24">
        <f>IF(A13="","",IFERROR(INDEX(Matières!$E$5:$E$104,MATCH(A13,Matières!$A$5:$A$104,0)),"introuvable"))</f>
        <v>0.185</v>
      </c>
      <c r="D13" s="13">
        <v>1</v>
      </c>
      <c r="E13" s="28">
        <f t="shared" si="0"/>
        <v>0.185</v>
      </c>
    </row>
    <row r="14" spans="1:5" x14ac:dyDescent="0.25">
      <c r="A14" s="10" t="s">
        <v>136</v>
      </c>
      <c r="B14" s="4" t="str">
        <f>IF(A14="","",IFERROR(INDEX(Matières!$D$5:$D$104,MATCH(A14,Matières!$A$5:$A$104,0)),"introuvable"))</f>
        <v>pièce</v>
      </c>
      <c r="C14" s="24">
        <f>IF(A14="","",IFERROR(INDEX(Matières!$E$5:$E$104,MATCH(A14,Matières!$A$5:$A$104,0)),"introuvable"))</f>
        <v>1.4999999999999999E-2</v>
      </c>
      <c r="D14" s="13">
        <v>2</v>
      </c>
      <c r="E14" s="28">
        <f t="shared" si="0"/>
        <v>0.03</v>
      </c>
    </row>
    <row r="15" spans="1:5" x14ac:dyDescent="0.25">
      <c r="A15" s="10" t="s">
        <v>137</v>
      </c>
      <c r="B15" s="4" t="str">
        <f>IF(A15="","",IFERROR(INDEX(Matières!$D$5:$D$104,MATCH(A15,Matières!$A$5:$A$104,0)),"introuvable"))</f>
        <v>g</v>
      </c>
      <c r="C15" s="24">
        <f>IF(A15="","",IFERROR(INDEX(Matières!$E$5:$E$104,MATCH(A15,Matières!$A$5:$A$104,0)),"introuvable"))</f>
        <v>0.4</v>
      </c>
      <c r="D15" s="13">
        <v>2</v>
      </c>
      <c r="E15" s="28">
        <f t="shared" si="0"/>
        <v>0.8</v>
      </c>
    </row>
    <row r="16" spans="1:5" x14ac:dyDescent="0.25">
      <c r="A16" s="10"/>
      <c r="B16" s="4" t="str">
        <f>IF(A16="","",IFERROR(INDEX(Matières!$D$5:$D$104,MATCH(A16,Matières!$A$5:$A$104,0)),"introuvable"))</f>
        <v/>
      </c>
      <c r="C16" s="24" t="str">
        <f>IF(A16="","",IFERROR(INDEX(Matières!$E$5:$E$104,MATCH(A16,Matières!$A$5:$A$104,0)),"introuvable"))</f>
        <v/>
      </c>
      <c r="D16" s="13"/>
      <c r="E16" s="28">
        <f t="shared" si="0"/>
        <v>0</v>
      </c>
    </row>
    <row r="17" spans="1:5" x14ac:dyDescent="0.25">
      <c r="A17" s="10"/>
      <c r="B17" s="4" t="str">
        <f>IF(A17="","",IFERROR(INDEX(Matières!$D$5:$D$104,MATCH(A17,Matières!$A$5:$A$104,0)),"introuvable"))</f>
        <v/>
      </c>
      <c r="C17" s="24" t="str">
        <f>IF(A17="","",IFERROR(INDEX(Matières!$E$5:$E$104,MATCH(A17,Matières!$A$5:$A$104,0)),"introuvable"))</f>
        <v/>
      </c>
      <c r="D17" s="13"/>
      <c r="E17" s="28">
        <f t="shared" si="0"/>
        <v>0</v>
      </c>
    </row>
    <row r="18" spans="1:5" x14ac:dyDescent="0.25">
      <c r="A18" s="10"/>
      <c r="B18" s="4" t="str">
        <f>IF(A18="","",IFERROR(INDEX(Matières!$D$5:$D$104,MATCH(A18,Matières!$A$5:$A$104,0)),"introuvable"))</f>
        <v/>
      </c>
      <c r="C18" s="24" t="str">
        <f>IF(A18="","",IFERROR(INDEX(Matières!$E$5:$E$104,MATCH(A18,Matières!$A$5:$A$104,0)),"introuvable"))</f>
        <v/>
      </c>
      <c r="D18" s="13"/>
      <c r="E18" s="28">
        <f t="shared" si="0"/>
        <v>0</v>
      </c>
    </row>
    <row r="19" spans="1:5" x14ac:dyDescent="0.25">
      <c r="A19" s="10"/>
      <c r="B19" s="4" t="str">
        <f>IF(A19="","",IFERROR(INDEX(Matières!$D$5:$D$104,MATCH(A19,Matières!$A$5:$A$104,0)),"introuvable"))</f>
        <v/>
      </c>
      <c r="C19" s="24" t="str">
        <f>IF(A19="","",IFERROR(INDEX(Matières!$E$5:$E$104,MATCH(A19,Matières!$A$5:$A$104,0)),"introuvable"))</f>
        <v/>
      </c>
      <c r="D19" s="13"/>
      <c r="E19" s="28">
        <f t="shared" si="0"/>
        <v>0</v>
      </c>
    </row>
    <row r="20" spans="1:5" x14ac:dyDescent="0.25">
      <c r="A20" s="10"/>
      <c r="B20" s="4" t="str">
        <f>IF(A20="","",IFERROR(INDEX(Matières!$D$5:$D$104,MATCH(A20,Matières!$A$5:$A$104,0)),"introuvable"))</f>
        <v/>
      </c>
      <c r="C20" s="24" t="str">
        <f>IF(A20="","",IFERROR(INDEX(Matières!$E$5:$E$104,MATCH(A20,Matières!$A$5:$A$104,0)),"introuvable"))</f>
        <v/>
      </c>
      <c r="D20" s="13"/>
      <c r="E20" s="28">
        <f t="shared" si="0"/>
        <v>0</v>
      </c>
    </row>
    <row r="21" spans="1:5" x14ac:dyDescent="0.25">
      <c r="A21" s="10"/>
      <c r="B21" s="4" t="str">
        <f>IF(A21="","",IFERROR(INDEX(Matières!$D$5:$D$104,MATCH(A21,Matières!$A$5:$A$104,0)),"introuvable"))</f>
        <v/>
      </c>
      <c r="C21" s="24" t="str">
        <f>IF(A21="","",IFERROR(INDEX(Matières!$E$5:$E$104,MATCH(A21,Matières!$A$5:$A$104,0)),"introuvable"))</f>
        <v/>
      </c>
      <c r="D21" s="13"/>
      <c r="E21" s="28">
        <f t="shared" si="0"/>
        <v>0</v>
      </c>
    </row>
    <row r="22" spans="1:5" x14ac:dyDescent="0.25">
      <c r="A22" s="22" t="s">
        <v>170</v>
      </c>
      <c r="E22" s="29">
        <f>SUM(E12:E21)</f>
        <v>1.177</v>
      </c>
    </row>
    <row r="23" spans="1:5" ht="27.95" customHeight="1" x14ac:dyDescent="0.25">
      <c r="A23" s="38" t="str">
        <f>IF(SUMPRODUCT((A12:A21&lt;&gt;"")*(1-ISNUMBER(C12:C21)))&gt;0,"ATTENTION : une ligne n'a pas de coût unitaire (onglet Matières : prix et quantité du lot, ou nom modifié). Elle compte pour 0 €.","")</f>
        <v/>
      </c>
      <c r="B23" s="35"/>
      <c r="C23" s="35"/>
      <c r="D23" s="35"/>
      <c r="E23" s="35"/>
    </row>
    <row r="24" spans="1:5" x14ac:dyDescent="0.25">
      <c r="A24" s="34" t="s">
        <v>171</v>
      </c>
      <c r="B24" s="35"/>
      <c r="C24" s="35"/>
      <c r="D24" s="35"/>
      <c r="E24" s="35"/>
    </row>
    <row r="25" spans="1:5" x14ac:dyDescent="0.25">
      <c r="A25" s="26" t="s">
        <v>172</v>
      </c>
      <c r="B25" s="27" t="s">
        <v>114</v>
      </c>
      <c r="C25" s="27" t="s">
        <v>167</v>
      </c>
      <c r="D25" s="27" t="s">
        <v>168</v>
      </c>
      <c r="E25" s="27" t="s">
        <v>169</v>
      </c>
    </row>
    <row r="26" spans="1:5" x14ac:dyDescent="0.25">
      <c r="A26" s="10" t="s">
        <v>139</v>
      </c>
      <c r="B26" s="4" t="str">
        <f>IF(A26="","",IFERROR(INDEX(Matières!$D$5:$D$104,MATCH(A26,Matières!$A$5:$A$104,0)),"introuvable"))</f>
        <v>pièce</v>
      </c>
      <c r="C26" s="24">
        <f>IF(A26="","",IFERROR(INDEX(Matières!$E$5:$E$104,MATCH(A26,Matières!$A$5:$A$104,0)),"introuvable"))</f>
        <v>0.5</v>
      </c>
      <c r="D26" s="13">
        <v>1</v>
      </c>
      <c r="E26" s="28">
        <f>IF(AND(ISNUMBER(C26),ISNUMBER(D26)),C26*D26,0)</f>
        <v>0.5</v>
      </c>
    </row>
    <row r="27" spans="1:5" x14ac:dyDescent="0.25">
      <c r="A27" s="10"/>
      <c r="B27" s="4" t="str">
        <f>IF(A27="","",IFERROR(INDEX(Matières!$D$5:$D$104,MATCH(A27,Matières!$A$5:$A$104,0)),"introuvable"))</f>
        <v/>
      </c>
      <c r="C27" s="24" t="str">
        <f>IF(A27="","",IFERROR(INDEX(Matières!$E$5:$E$104,MATCH(A27,Matières!$A$5:$A$104,0)),"introuvable"))</f>
        <v/>
      </c>
      <c r="D27" s="13"/>
      <c r="E27" s="28">
        <f>IF(AND(ISNUMBER(C27),ISNUMBER(D27)),C27*D27,0)</f>
        <v>0</v>
      </c>
    </row>
    <row r="28" spans="1:5" x14ac:dyDescent="0.25">
      <c r="A28" s="10"/>
      <c r="B28" s="4" t="str">
        <f>IF(A28="","",IFERROR(INDEX(Matières!$D$5:$D$104,MATCH(A28,Matières!$A$5:$A$104,0)),"introuvable"))</f>
        <v/>
      </c>
      <c r="C28" s="24" t="str">
        <f>IF(A28="","",IFERROR(INDEX(Matières!$E$5:$E$104,MATCH(A28,Matières!$A$5:$A$104,0)),"introuvable"))</f>
        <v/>
      </c>
      <c r="D28" s="13"/>
      <c r="E28" s="28">
        <f>IF(AND(ISNUMBER(C28),ISNUMBER(D28)),C28*D28,0)</f>
        <v>0</v>
      </c>
    </row>
    <row r="29" spans="1:5" x14ac:dyDescent="0.25">
      <c r="A29" s="10"/>
      <c r="B29" s="4" t="str">
        <f>IF(A29="","",IFERROR(INDEX(Matières!$D$5:$D$104,MATCH(A29,Matières!$A$5:$A$104,0)),"introuvable"))</f>
        <v/>
      </c>
      <c r="C29" s="24" t="str">
        <f>IF(A29="","",IFERROR(INDEX(Matières!$E$5:$E$104,MATCH(A29,Matières!$A$5:$A$104,0)),"introuvable"))</f>
        <v/>
      </c>
      <c r="D29" s="13"/>
      <c r="E29" s="28">
        <f>IF(AND(ISNUMBER(C29),ISNUMBER(D29)),C29*D29,0)</f>
        <v>0</v>
      </c>
    </row>
    <row r="30" spans="1:5" x14ac:dyDescent="0.25">
      <c r="A30" s="10"/>
      <c r="B30" s="4" t="str">
        <f>IF(A30="","",IFERROR(INDEX(Matières!$D$5:$D$104,MATCH(A30,Matières!$A$5:$A$104,0)),"introuvable"))</f>
        <v/>
      </c>
      <c r="C30" s="24" t="str">
        <f>IF(A30="","",IFERROR(INDEX(Matières!$E$5:$E$104,MATCH(A30,Matières!$A$5:$A$104,0)),"introuvable"))</f>
        <v/>
      </c>
      <c r="D30" s="13"/>
      <c r="E30" s="28">
        <f>IF(AND(ISNUMBER(C30),ISNUMBER(D30)),C30*D30,0)</f>
        <v>0</v>
      </c>
    </row>
    <row r="31" spans="1:5" x14ac:dyDescent="0.25">
      <c r="A31" s="22" t="s">
        <v>173</v>
      </c>
      <c r="E31" s="29">
        <f>SUM(E26:E30)</f>
        <v>0.5</v>
      </c>
    </row>
    <row r="32" spans="1:5" ht="27.95" customHeight="1" x14ac:dyDescent="0.25">
      <c r="A32" s="38" t="str">
        <f>IF(SUMPRODUCT((A26:A30&lt;&gt;"")*(1-ISNUMBER(C26:C30)))&gt;0,"ATTENTION : une ligne n'a pas de coût unitaire (onglet Matières : prix et quantité du lot, ou nom modifié). Elle compte pour 0 €.","")</f>
        <v/>
      </c>
      <c r="B32" s="35"/>
      <c r="C32" s="35"/>
      <c r="D32" s="35"/>
      <c r="E32" s="35"/>
    </row>
    <row r="33" spans="1:5" x14ac:dyDescent="0.25">
      <c r="A33" s="34" t="s">
        <v>174</v>
      </c>
      <c r="B33" s="35"/>
      <c r="C33" s="35"/>
      <c r="D33" s="35"/>
      <c r="E33" s="35"/>
    </row>
    <row r="34" spans="1:5" x14ac:dyDescent="0.25">
      <c r="A34" t="s">
        <v>175</v>
      </c>
      <c r="B34" s="14">
        <f>IF(B5&lt;1,E22/(1-B5),E22)</f>
        <v>1.2134020618556702</v>
      </c>
      <c r="C34" s="36" t="s">
        <v>176</v>
      </c>
      <c r="D34" s="35"/>
      <c r="E34" s="35"/>
    </row>
    <row r="35" spans="1:5" x14ac:dyDescent="0.25">
      <c r="A35" t="s">
        <v>171</v>
      </c>
      <c r="B35" s="14">
        <f>E31</f>
        <v>0.5</v>
      </c>
      <c r="C35" s="36"/>
      <c r="D35" s="35"/>
      <c r="E35" s="35"/>
    </row>
    <row r="36" spans="1:5" x14ac:dyDescent="0.25">
      <c r="A36" t="s">
        <v>177</v>
      </c>
      <c r="B36" s="14">
        <f>IF(ISNUMBER(B6),B6/60*Paramètres!$C$10,0)</f>
        <v>7.5</v>
      </c>
      <c r="C36" s="36" t="s">
        <v>178</v>
      </c>
      <c r="D36" s="35"/>
      <c r="E36" s="35"/>
    </row>
    <row r="37" spans="1:5" x14ac:dyDescent="0.25">
      <c r="A37" t="s">
        <v>179</v>
      </c>
      <c r="B37" s="14">
        <f>Paramètres!$C$14</f>
        <v>1.5</v>
      </c>
      <c r="C37" s="36" t="s">
        <v>180</v>
      </c>
      <c r="D37" s="35"/>
      <c r="E37" s="35"/>
    </row>
    <row r="38" spans="1:5" x14ac:dyDescent="0.25">
      <c r="A38" s="22" t="s">
        <v>181</v>
      </c>
      <c r="B38" s="16">
        <f>SUM(B34:B37)</f>
        <v>10.713402061855671</v>
      </c>
      <c r="C38" s="36" t="s">
        <v>182</v>
      </c>
      <c r="D38" s="35"/>
      <c r="E38" s="35"/>
    </row>
    <row r="39" spans="1:5" x14ac:dyDescent="0.25">
      <c r="A39" t="s">
        <v>183</v>
      </c>
      <c r="B39" s="14">
        <f>B38*B4</f>
        <v>4.285360824742269</v>
      </c>
      <c r="C39" s="36" t="s">
        <v>184</v>
      </c>
      <c r="D39" s="35"/>
      <c r="E39" s="35"/>
    </row>
    <row r="40" spans="1:5" x14ac:dyDescent="0.25">
      <c r="A40" s="22" t="s">
        <v>185</v>
      </c>
      <c r="B40" s="16">
        <f>B38+B39</f>
        <v>14.998762886597941</v>
      </c>
      <c r="C40" s="36" t="s">
        <v>186</v>
      </c>
      <c r="D40" s="35"/>
      <c r="E40" s="35"/>
    </row>
    <row r="42" spans="1:5" x14ac:dyDescent="0.25">
      <c r="A42" s="34" t="s">
        <v>187</v>
      </c>
      <c r="B42" s="35"/>
      <c r="C42" s="35"/>
      <c r="D42" s="35"/>
      <c r="E42" s="35"/>
    </row>
    <row r="43" spans="1:5" x14ac:dyDescent="0.25">
      <c r="A43" s="26"/>
      <c r="B43" s="27" t="s">
        <v>188</v>
      </c>
      <c r="C43" s="27" t="s">
        <v>189</v>
      </c>
      <c r="D43" s="27" t="s">
        <v>190</v>
      </c>
      <c r="E43" s="27" t="s">
        <v>191</v>
      </c>
    </row>
    <row r="44" spans="1:5" x14ac:dyDescent="0.25">
      <c r="A44" s="30" t="s">
        <v>192</v>
      </c>
      <c r="B44" s="18">
        <f>Paramètres!$C$22</f>
        <v>0</v>
      </c>
      <c r="C44" s="18" t="str">
        <f>IF(AND(ISNUMBER(Paramètres!$C$34),ISNUMBER(Paramètres!$C$35)),Paramètres!$C$34,"À renseigner")</f>
        <v>À renseigner</v>
      </c>
      <c r="D44" s="18">
        <f>Paramètres!$C$37</f>
        <v>0.3</v>
      </c>
      <c r="E44" s="18">
        <f>0</f>
        <v>0</v>
      </c>
    </row>
    <row r="45" spans="1:5" x14ac:dyDescent="0.25">
      <c r="A45" s="30" t="s">
        <v>193</v>
      </c>
      <c r="B45" s="14">
        <f>Paramètres!$C$23</f>
        <v>0</v>
      </c>
      <c r="C45" s="14" t="str">
        <f>IF(AND(ISNUMBER(Paramètres!$C$34),ISNUMBER(Paramètres!$C$35)),Paramètres!$C$35,"À renseigner")</f>
        <v>À renseigner</v>
      </c>
      <c r="D45" s="14">
        <f>0</f>
        <v>0</v>
      </c>
      <c r="E45" s="14">
        <f>0</f>
        <v>0</v>
      </c>
    </row>
    <row r="46" spans="1:5" x14ac:dyDescent="0.25">
      <c r="A46" s="30" t="s">
        <v>194</v>
      </c>
      <c r="B46" s="14">
        <f>0</f>
        <v>0</v>
      </c>
      <c r="C46" s="14" t="str">
        <f>IF(AND(ISNUMBER(Paramètres!$C$34),ISNUMBER(Paramètres!$C$35)),$B$8,"À renseigner")</f>
        <v>À renseigner</v>
      </c>
      <c r="D46" s="14">
        <f>0</f>
        <v>0</v>
      </c>
      <c r="E46" s="14">
        <f>0</f>
        <v>0</v>
      </c>
    </row>
    <row r="47" spans="1:5" x14ac:dyDescent="0.25">
      <c r="A47" s="30" t="s">
        <v>195</v>
      </c>
      <c r="B47" s="14">
        <f>0</f>
        <v>0</v>
      </c>
      <c r="C47" s="14" t="str">
        <f>IF(AND(ISNUMBER(Paramètres!$C$34),ISNUMBER(Paramètres!$C$35)),$B$7,"À renseigner")</f>
        <v>À renseigner</v>
      </c>
      <c r="D47" s="14">
        <f>0</f>
        <v>0</v>
      </c>
      <c r="E47" s="14">
        <f>0</f>
        <v>0</v>
      </c>
    </row>
    <row r="48" spans="1:5" x14ac:dyDescent="0.25">
      <c r="A48" s="30" t="s">
        <v>196</v>
      </c>
      <c r="B48" s="18">
        <f>Paramètres!$C$20-B44</f>
        <v>0.877</v>
      </c>
      <c r="C48" s="18" t="str">
        <f>IF(AND(ISNUMBER(Paramètres!$C$34),ISNUMBER(Paramètres!$C$35)),Paramètres!$C$20-C44,"À renseigner")</f>
        <v>À renseigner</v>
      </c>
      <c r="D48" s="18">
        <f>Paramètres!$C$20-D44</f>
        <v>0.57699999999999996</v>
      </c>
      <c r="E48" s="18">
        <f>1-Paramètres!$C$16</f>
        <v>0.877</v>
      </c>
    </row>
    <row r="49" spans="1:5" x14ac:dyDescent="0.25">
      <c r="A49" s="30" t="s">
        <v>197</v>
      </c>
      <c r="B49" s="16">
        <f>IF(B48&gt;0,($B$38+B45+B46)/B48-B47,"Taux trop élevés")</f>
        <v>12.215965863005326</v>
      </c>
      <c r="C49" s="16" t="str">
        <f>IF(AND(ISNUMBER(Paramètres!$C$34),ISNUMBER(Paramètres!$C$35)),IF(C48&gt;0,($B$38+C45+C46)/C48-C47,"Taux trop élevés"),"À renseigner")</f>
        <v>À renseigner</v>
      </c>
      <c r="D49" s="16">
        <f>IF(D48&gt;0,($B$38+D45+D46)/D48-D47,"Taux trop élevés")</f>
        <v>18.567421251049691</v>
      </c>
      <c r="E49" s="16">
        <f>IF(E48&gt;0,$B$38/E48,"Taux trop élevés")</f>
        <v>12.215965863005326</v>
      </c>
    </row>
    <row r="50" spans="1:5" ht="57.95" customHeight="1" x14ac:dyDescent="0.25">
      <c r="A50" s="31" t="s">
        <v>198</v>
      </c>
      <c r="B50" s="16">
        <f>IF(B48&gt;0,($B$40+B45+B46)/B48-B47,"Taux trop élevés")</f>
        <v>17.10235220820746</v>
      </c>
      <c r="C50" s="16" t="str">
        <f>IF(AND(ISNUMBER(Paramètres!$C$34),ISNUMBER(Paramètres!$C$35)),IF(C48&gt;0,($B$40+C45+C46)/C48-C47,"Taux trop élevés"),"À renseigner")</f>
        <v>À renseigner</v>
      </c>
      <c r="D50" s="16">
        <f>IF(D48&gt;0,($B$40+D45+D46)/D48-D47,"Taux trop élevés")</f>
        <v>25.994389751469569</v>
      </c>
      <c r="E50" s="16">
        <f>IF(NOT(ISNUMBER(B50)),"Taux trop élevés",IF(N(Paramètres!$C$39)&gt;0,B50/Paramètres!$C$39,"Coefficient boutique manquant"))</f>
        <v>7.7737964582761174</v>
      </c>
    </row>
    <row r="51" spans="1:5" ht="30" customHeight="1" x14ac:dyDescent="0.25">
      <c r="A51" s="30" t="s">
        <v>199</v>
      </c>
      <c r="B51" s="14"/>
      <c r="C51" s="14"/>
      <c r="D51" s="14"/>
      <c r="E51" s="16">
        <f>IF(ISNUMBER(B50),B50,"Taux trop élevés")</f>
        <v>17.10235220820746</v>
      </c>
    </row>
    <row r="52" spans="1:5" ht="30" customHeight="1" x14ac:dyDescent="0.25">
      <c r="A52" s="30" t="s">
        <v>200</v>
      </c>
      <c r="B52" s="14"/>
      <c r="C52" s="14"/>
      <c r="D52" s="14"/>
      <c r="E52" s="14">
        <f>IF(ISNUMBER(E49),E49*Paramètres!$C$39,"Taux trop élevés")</f>
        <v>26.87512489861172</v>
      </c>
    </row>
    <row r="53" spans="1:5" ht="30" customHeight="1" x14ac:dyDescent="0.25">
      <c r="A53" s="30" t="s">
        <v>201</v>
      </c>
      <c r="B53" s="14"/>
      <c r="C53" s="14"/>
      <c r="D53" s="14"/>
      <c r="E53" s="14">
        <f>IF(E48&gt;0,$B$40/E48*Paramètres!$C$39,"Taux trop élevés")</f>
        <v>37.625174858056418</v>
      </c>
    </row>
    <row r="55" spans="1:5" x14ac:dyDescent="0.25">
      <c r="A55" s="34" t="s">
        <v>202</v>
      </c>
      <c r="B55" s="35"/>
      <c r="C55" s="35"/>
      <c r="D55" s="35"/>
      <c r="E55" s="35"/>
    </row>
    <row r="56" spans="1:5" x14ac:dyDescent="0.25">
      <c r="A56" t="s">
        <v>203</v>
      </c>
      <c r="B56" s="14">
        <f>IF(ISNUMBER(B50),B50+B47,0)</f>
        <v>17.10235220820746</v>
      </c>
      <c r="C56" s="14" t="str">
        <f>IF(AND(ISNUMBER(Paramètres!$C$34),ISNUMBER(Paramètres!$C$35)),IF(ISNUMBER(C50),C50+C47,0),"À renseigner")</f>
        <v>À renseigner</v>
      </c>
      <c r="D56" s="14">
        <f>IF(ISNUMBER(D50),D50+D47,0)</f>
        <v>25.994389751469569</v>
      </c>
      <c r="E56" s="14">
        <f>IF(ISNUMBER(E50),E50*(1+Paramètres!$C$19),0)</f>
        <v>7.7737964582761174</v>
      </c>
    </row>
    <row r="57" spans="1:5" x14ac:dyDescent="0.25">
      <c r="A57" t="s">
        <v>204</v>
      </c>
      <c r="B57" s="14">
        <f>B56-B56/(1+Paramètres!$C$19)</f>
        <v>0</v>
      </c>
      <c r="C57" s="14" t="str">
        <f>IF(AND(ISNUMBER(Paramètres!$C$34),ISNUMBER(Paramètres!$C$35)),C56-C56/(1+Paramètres!$C$19),"À renseigner")</f>
        <v>À renseigner</v>
      </c>
      <c r="D57" s="14">
        <f>D56-D56/(1+Paramètres!$C$19)</f>
        <v>0</v>
      </c>
      <c r="E57" s="14">
        <f>E56-E56/(1+Paramètres!$C$19)</f>
        <v>0</v>
      </c>
    </row>
    <row r="58" spans="1:5" x14ac:dyDescent="0.25">
      <c r="A58" t="s">
        <v>205</v>
      </c>
      <c r="B58" s="14">
        <f>Paramètres!$C$16*B56/(1+Paramètres!$C$19)</f>
        <v>2.1035893216095176</v>
      </c>
      <c r="C58" s="14" t="str">
        <f>IF(AND(ISNUMBER(Paramètres!$C$34),ISNUMBER(Paramètres!$C$35)),Paramètres!$C$16*C56/(1+Paramètres!$C$19),"À renseigner")</f>
        <v>À renseigner</v>
      </c>
      <c r="D58" s="14">
        <f>Paramètres!$C$16*D56/(1+Paramètres!$C$19)</f>
        <v>3.1973099394307569</v>
      </c>
      <c r="E58" s="14">
        <f>Paramètres!$C$16*E56/(1+Paramètres!$C$19)</f>
        <v>0.9561769643679624</v>
      </c>
    </row>
    <row r="59" spans="1:5" x14ac:dyDescent="0.25">
      <c r="A59" t="s">
        <v>206</v>
      </c>
      <c r="B59" s="14">
        <f>B44*B56+IF(B56&gt;0,B45,0)</f>
        <v>0</v>
      </c>
      <c r="C59" s="14" t="str">
        <f>IF(AND(ISNUMBER(Paramètres!$C$34),ISNUMBER(Paramètres!$C$35)),C44*C56+IF(C56&gt;0,C45,0),"À renseigner")</f>
        <v>À renseigner</v>
      </c>
      <c r="D59" s="14">
        <f>D44*D56+IF(D56&gt;0,D45,0)</f>
        <v>7.7983169254408704</v>
      </c>
      <c r="E59" s="14">
        <f>E44*E56+IF(E56&gt;0,E45,0)</f>
        <v>0</v>
      </c>
    </row>
    <row r="60" spans="1:5" x14ac:dyDescent="0.25">
      <c r="A60" t="s">
        <v>207</v>
      </c>
      <c r="B60" s="14">
        <f>IF(B56&gt;0,B46,0)</f>
        <v>0</v>
      </c>
      <c r="C60" s="14" t="str">
        <f>IF(AND(ISNUMBER(Paramètres!$C$34),ISNUMBER(Paramètres!$C$35)),IF(C56&gt;0,C46,0),"À renseigner")</f>
        <v>À renseigner</v>
      </c>
      <c r="D60" s="14">
        <f>IF(D56&gt;0,D46,0)</f>
        <v>0</v>
      </c>
      <c r="E60" s="14">
        <f>IF(E56&gt;0,E46,0)</f>
        <v>0</v>
      </c>
    </row>
    <row r="61" spans="1:5" x14ac:dyDescent="0.25">
      <c r="A61" s="22" t="s">
        <v>208</v>
      </c>
      <c r="B61" s="16">
        <f>B56-B57-B58-B59-B60</f>
        <v>14.998762886597943</v>
      </c>
      <c r="C61" s="16" t="str">
        <f>IF(AND(ISNUMBER(Paramètres!$C$34),ISNUMBER(Paramètres!$C$35)),C56-C57-C58-C59-C60,"À renseigner")</f>
        <v>À renseigner</v>
      </c>
      <c r="D61" s="16">
        <f>D56-D57-D58-D59-D60</f>
        <v>14.998762886597943</v>
      </c>
      <c r="E61" s="16">
        <f>E56-E57-E58-E59-E60</f>
        <v>6.8176194939081549</v>
      </c>
    </row>
    <row r="62" spans="1:5" x14ac:dyDescent="0.25">
      <c r="A62" t="s">
        <v>209</v>
      </c>
      <c r="B62" s="14">
        <f>B61-$B$38</f>
        <v>4.2853608247422716</v>
      </c>
      <c r="C62" s="14" t="str">
        <f>IF(AND(ISNUMBER(Paramètres!$C$34),ISNUMBER(Paramètres!$C$35)),C61-$B$38,"À renseigner")</f>
        <v>À renseigner</v>
      </c>
      <c r="D62" s="14">
        <f>D61-$B$38</f>
        <v>4.2853608247422716</v>
      </c>
      <c r="E62" s="14">
        <f>E61-$B$38</f>
        <v>-3.8957825679475162</v>
      </c>
    </row>
    <row r="63" spans="1:5" ht="63.95" customHeight="1" x14ac:dyDescent="0.25">
      <c r="A63" t="s">
        <v>210</v>
      </c>
      <c r="B63" s="32" t="str">
        <f>IF(ISNUMBER(B50),IF(ABS(B61-$B$40)&lt;0.005,"OK : net = net visé","Écart à vérifier"),"Taux trop élevés")</f>
        <v>OK : net = net visé</v>
      </c>
      <c r="C63" s="32" t="str">
        <f>IF(AND(ISNUMBER(Paramètres!$C$34),ISNUMBER(Paramètres!$C$35)),IF(ISNUMBER(C50),IF(ABS(C61-$B$40)&lt;0.005,"OK : net = net visé","Écart à vérifier"),"Taux trop élevés"),"À renseigner")</f>
        <v>À renseigner</v>
      </c>
      <c r="D63" s="32" t="str">
        <f>IF(ISNUMBER(D50),IF(ABS(D61-$B$40)&lt;0.005,"OK : net = net visé","Écart à vérifier"),"Taux trop élevés")</f>
        <v>OK : net = net visé</v>
      </c>
      <c r="E63" s="33" t="str">
        <f>IF(AND(ISNUMBER(E49),ISNUMBER(E50)),IF(E50&lt;E49,"ATTENTION : prix de gros à perte, vous perdez de l'argent sur chaque vente (ligne 62). Montez votre prix public (ligne 52 ou 53).","OK : au-dessus du minimum"),IF(ISTEXT(E50),E50,"Taux trop élevés"))</f>
        <v>ATTENTION : prix de gros à perte, vous perdez de l'argent sur chaque vente (ligne 62). Montez votre prix public (ligne 52 ou 53).</v>
      </c>
    </row>
    <row r="65" spans="1:5" x14ac:dyDescent="0.25">
      <c r="A65" s="36" t="str">
        <f>IF(Paramètres!$C$17="Oui","Prix TTC : la TVA collectée est reversée à l'État.","Franchise en base de TVA : « TVA non applicable, art. 293 B du CGI ».")</f>
        <v>Franchise en base de TVA : « TVA non applicable, art. 293 B du CGI ».</v>
      </c>
      <c r="B65" s="35"/>
      <c r="C65" s="35"/>
      <c r="D65" s="35"/>
      <c r="E65" s="35"/>
    </row>
    <row r="66" spans="1:5" x14ac:dyDescent="0.25">
      <c r="A66" s="37" t="s">
        <v>211</v>
      </c>
      <c r="B66" s="35"/>
      <c r="C66" s="35"/>
      <c r="D66" s="35"/>
      <c r="E66" s="35"/>
    </row>
    <row r="67" spans="1:5" x14ac:dyDescent="0.25">
      <c r="A67" s="35"/>
      <c r="B67" s="35"/>
      <c r="C67" s="35"/>
      <c r="D67" s="35"/>
      <c r="E67" s="35"/>
    </row>
    <row r="68" spans="1:5" x14ac:dyDescent="0.25">
      <c r="A68" s="35"/>
      <c r="B68" s="35"/>
      <c r="C68" s="35"/>
      <c r="D68" s="35"/>
      <c r="E68" s="35"/>
    </row>
  </sheetData>
  <sheetProtection sheet="1" formatColumns="0" formatRows="0"/>
  <mergeCells count="22">
    <mergeCell ref="C3:E3"/>
    <mergeCell ref="A23:E23"/>
    <mergeCell ref="A32:E32"/>
    <mergeCell ref="C34:E34"/>
    <mergeCell ref="C6:E6"/>
    <mergeCell ref="C5:E5"/>
    <mergeCell ref="A10:E10"/>
    <mergeCell ref="A66:E68"/>
    <mergeCell ref="C7:E7"/>
    <mergeCell ref="C38:E38"/>
    <mergeCell ref="A55:E55"/>
    <mergeCell ref="C37:E37"/>
    <mergeCell ref="A42:E42"/>
    <mergeCell ref="A33:E33"/>
    <mergeCell ref="C35:E35"/>
    <mergeCell ref="A24:E24"/>
    <mergeCell ref="C40:E40"/>
    <mergeCell ref="C4:D4"/>
    <mergeCell ref="C36:E36"/>
    <mergeCell ref="A65:E65"/>
    <mergeCell ref="C39:E39"/>
    <mergeCell ref="C8:E8"/>
  </mergeCells>
  <conditionalFormatting sqref="B63:E63">
    <cfRule type="expression" dxfId="7" priority="1">
      <formula>LEFT(B63,2)&lt;&gt;"OK"</formula>
    </cfRule>
  </conditionalFormatting>
  <conditionalFormatting sqref="E50 E62">
    <cfRule type="expression" dxfId="6" priority="2">
      <formula>AND(ISNUMBER($E$50),ISNUMBER($E$49),$E$50&lt;$E$49)</formula>
    </cfRule>
  </conditionalFormatting>
  <dataValidations count="2">
    <dataValidation type="decimal" operator="greaterThanOrEqual" allowBlank="1" showErrorMessage="1" errorTitle="Valeur invalide" error="Saisissez un nombre positif ou nul." sqref="B4 D26:D30 D12:D21 B6:B8" xr:uid="{00000000-0002-0000-0400-000000000000}">
      <formula1>0</formula1>
    </dataValidation>
    <dataValidation type="custom" allowBlank="1" showErrorMessage="1" errorTitle="Taux invalide" error="Saisissez un pourcentage entre 0 % et 99,99 % (strictement inférieur à 100 %)." sqref="B5" xr:uid="{00000000-0002-0000-0400-000001000000}">
      <formula1>AND(ISNUMBER(B5),B5&gt;=0,B5&lt;1)</formula1>
    </dataValidation>
  </dataValidations>
  <printOptions horizontalCentered="1"/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hoix invalide" error="Choisissez une valeur dans la liste." xr:uid="{00000000-0002-0000-0400-000005000000}">
          <x14:formula1>
            <xm:f>Matières!$A$5:$A$104</xm:f>
          </x14:formula1>
          <xm:sqref>A12:A21 A26:A30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5" width="17" customWidth="1"/>
  </cols>
  <sheetData>
    <row r="1" spans="1:5" ht="21" x14ac:dyDescent="0.35">
      <c r="A1" s="1" t="str">
        <f>"Fiche 3 : "&amp;IF(B3="","(produit à nommer)",B3)</f>
        <v>Fiche 3 : Figurine imprimée en 3D</v>
      </c>
    </row>
    <row r="3" spans="1:5" x14ac:dyDescent="0.25">
      <c r="A3" t="s">
        <v>153</v>
      </c>
      <c r="B3" s="10" t="s">
        <v>213</v>
      </c>
      <c r="C3" s="36"/>
      <c r="D3" s="35"/>
      <c r="E3" s="35"/>
    </row>
    <row r="4" spans="1:5" x14ac:dyDescent="0.25">
      <c r="A4" t="s">
        <v>155</v>
      </c>
      <c r="B4" s="17">
        <v>0.35</v>
      </c>
      <c r="C4" s="36" t="s">
        <v>156</v>
      </c>
      <c r="D4" s="35"/>
      <c r="E4" s="25">
        <f>1+B4</f>
        <v>1.35</v>
      </c>
    </row>
    <row r="5" spans="1:5" x14ac:dyDescent="0.25">
      <c r="A5" t="s">
        <v>157</v>
      </c>
      <c r="B5" s="17">
        <v>0.1</v>
      </c>
      <c r="C5" s="36" t="s">
        <v>158</v>
      </c>
      <c r="D5" s="35"/>
      <c r="E5" s="35"/>
    </row>
    <row r="6" spans="1:5" x14ac:dyDescent="0.25">
      <c r="A6" t="s">
        <v>159</v>
      </c>
      <c r="B6" s="13">
        <v>10</v>
      </c>
      <c r="C6" s="36" t="s">
        <v>160</v>
      </c>
      <c r="D6" s="35"/>
      <c r="E6" s="35"/>
    </row>
    <row r="7" spans="1:5" x14ac:dyDescent="0.25">
      <c r="A7" t="s">
        <v>161</v>
      </c>
      <c r="B7" s="12">
        <v>0</v>
      </c>
      <c r="C7" s="36" t="s">
        <v>162</v>
      </c>
      <c r="D7" s="35"/>
      <c r="E7" s="35"/>
    </row>
    <row r="8" spans="1:5" x14ac:dyDescent="0.25">
      <c r="A8" t="s">
        <v>163</v>
      </c>
      <c r="B8" s="12">
        <v>0</v>
      </c>
      <c r="C8" s="36" t="s">
        <v>164</v>
      </c>
      <c r="D8" s="35"/>
      <c r="E8" s="35"/>
    </row>
    <row r="10" spans="1:5" x14ac:dyDescent="0.25">
      <c r="A10" s="34" t="s">
        <v>165</v>
      </c>
      <c r="B10" s="35"/>
      <c r="C10" s="35"/>
      <c r="D10" s="35"/>
      <c r="E10" s="35"/>
    </row>
    <row r="11" spans="1:5" x14ac:dyDescent="0.25">
      <c r="A11" s="26" t="s">
        <v>166</v>
      </c>
      <c r="B11" s="27" t="s">
        <v>114</v>
      </c>
      <c r="C11" s="27" t="s">
        <v>167</v>
      </c>
      <c r="D11" s="27" t="s">
        <v>168</v>
      </c>
      <c r="E11" s="27" t="s">
        <v>169</v>
      </c>
    </row>
    <row r="12" spans="1:5" x14ac:dyDescent="0.25">
      <c r="A12" s="10" t="s">
        <v>141</v>
      </c>
      <c r="B12" s="4" t="str">
        <f>IF(A12="","",IFERROR(INDEX(Matières!$D$5:$D$104,MATCH(A12,Matières!$A$5:$A$104,0)),"introuvable"))</f>
        <v>g</v>
      </c>
      <c r="C12" s="24">
        <f>IF(A12="","",IFERROR(INDEX(Matières!$E$5:$E$104,MATCH(A12,Matières!$A$5:$A$104,0)),"introuvable"))</f>
        <v>0.02</v>
      </c>
      <c r="D12" s="13">
        <v>50</v>
      </c>
      <c r="E12" s="28">
        <f t="shared" ref="E12:E21" si="0">IF(AND(ISNUMBER(C12),ISNUMBER(D12)),C12*D12,0)</f>
        <v>1</v>
      </c>
    </row>
    <row r="13" spans="1:5" x14ac:dyDescent="0.25">
      <c r="A13" s="10" t="s">
        <v>143</v>
      </c>
      <c r="B13" s="4" t="str">
        <f>IF(A13="","",IFERROR(INDEX(Matières!$D$5:$D$104,MATCH(A13,Matières!$A$5:$A$104,0)),"introuvable"))</f>
        <v>kWh</v>
      </c>
      <c r="C13" s="24">
        <f>IF(A13="","",IFERROR(INDEX(Matières!$E$5:$E$104,MATCH(A13,Matières!$A$5:$A$104,0)),"introuvable"))</f>
        <v>0.2001</v>
      </c>
      <c r="D13" s="13">
        <v>0.3</v>
      </c>
      <c r="E13" s="28">
        <f t="shared" si="0"/>
        <v>6.003E-2</v>
      </c>
    </row>
    <row r="14" spans="1:5" x14ac:dyDescent="0.25">
      <c r="A14" s="10" t="s">
        <v>146</v>
      </c>
      <c r="B14" s="4" t="str">
        <f>IF(A14="","",IFERROR(INDEX(Matières!$D$5:$D$104,MATCH(A14,Matières!$A$5:$A$104,0)),"introuvable"))</f>
        <v>heure</v>
      </c>
      <c r="C14" s="24">
        <f>IF(A14="","",IFERROR(INDEX(Matières!$E$5:$E$104,MATCH(A14,Matières!$A$5:$A$104,0)),"introuvable"))</f>
        <v>9.2249999999999999E-2</v>
      </c>
      <c r="D14" s="13">
        <v>3</v>
      </c>
      <c r="E14" s="28">
        <f t="shared" si="0"/>
        <v>0.27675</v>
      </c>
    </row>
    <row r="15" spans="1:5" x14ac:dyDescent="0.25">
      <c r="A15" s="10"/>
      <c r="B15" s="4" t="str">
        <f>IF(A15="","",IFERROR(INDEX(Matières!$D$5:$D$104,MATCH(A15,Matières!$A$5:$A$104,0)),"introuvable"))</f>
        <v/>
      </c>
      <c r="C15" s="24" t="str">
        <f>IF(A15="","",IFERROR(INDEX(Matières!$E$5:$E$104,MATCH(A15,Matières!$A$5:$A$104,0)),"introuvable"))</f>
        <v/>
      </c>
      <c r="D15" s="13"/>
      <c r="E15" s="28">
        <f t="shared" si="0"/>
        <v>0</v>
      </c>
    </row>
    <row r="16" spans="1:5" x14ac:dyDescent="0.25">
      <c r="A16" s="10"/>
      <c r="B16" s="4" t="str">
        <f>IF(A16="","",IFERROR(INDEX(Matières!$D$5:$D$104,MATCH(A16,Matières!$A$5:$A$104,0)),"introuvable"))</f>
        <v/>
      </c>
      <c r="C16" s="24" t="str">
        <f>IF(A16="","",IFERROR(INDEX(Matières!$E$5:$E$104,MATCH(A16,Matières!$A$5:$A$104,0)),"introuvable"))</f>
        <v/>
      </c>
      <c r="D16" s="13"/>
      <c r="E16" s="28">
        <f t="shared" si="0"/>
        <v>0</v>
      </c>
    </row>
    <row r="17" spans="1:5" x14ac:dyDescent="0.25">
      <c r="A17" s="10"/>
      <c r="B17" s="4" t="str">
        <f>IF(A17="","",IFERROR(INDEX(Matières!$D$5:$D$104,MATCH(A17,Matières!$A$5:$A$104,0)),"introuvable"))</f>
        <v/>
      </c>
      <c r="C17" s="24" t="str">
        <f>IF(A17="","",IFERROR(INDEX(Matières!$E$5:$E$104,MATCH(A17,Matières!$A$5:$A$104,0)),"introuvable"))</f>
        <v/>
      </c>
      <c r="D17" s="13"/>
      <c r="E17" s="28">
        <f t="shared" si="0"/>
        <v>0</v>
      </c>
    </row>
    <row r="18" spans="1:5" x14ac:dyDescent="0.25">
      <c r="A18" s="10"/>
      <c r="B18" s="4" t="str">
        <f>IF(A18="","",IFERROR(INDEX(Matières!$D$5:$D$104,MATCH(A18,Matières!$A$5:$A$104,0)),"introuvable"))</f>
        <v/>
      </c>
      <c r="C18" s="24" t="str">
        <f>IF(A18="","",IFERROR(INDEX(Matières!$E$5:$E$104,MATCH(A18,Matières!$A$5:$A$104,0)),"introuvable"))</f>
        <v/>
      </c>
      <c r="D18" s="13"/>
      <c r="E18" s="28">
        <f t="shared" si="0"/>
        <v>0</v>
      </c>
    </row>
    <row r="19" spans="1:5" x14ac:dyDescent="0.25">
      <c r="A19" s="10"/>
      <c r="B19" s="4" t="str">
        <f>IF(A19="","",IFERROR(INDEX(Matières!$D$5:$D$104,MATCH(A19,Matières!$A$5:$A$104,0)),"introuvable"))</f>
        <v/>
      </c>
      <c r="C19" s="24" t="str">
        <f>IF(A19="","",IFERROR(INDEX(Matières!$E$5:$E$104,MATCH(A19,Matières!$A$5:$A$104,0)),"introuvable"))</f>
        <v/>
      </c>
      <c r="D19" s="13"/>
      <c r="E19" s="28">
        <f t="shared" si="0"/>
        <v>0</v>
      </c>
    </row>
    <row r="20" spans="1:5" x14ac:dyDescent="0.25">
      <c r="A20" s="10"/>
      <c r="B20" s="4" t="str">
        <f>IF(A20="","",IFERROR(INDEX(Matières!$D$5:$D$104,MATCH(A20,Matières!$A$5:$A$104,0)),"introuvable"))</f>
        <v/>
      </c>
      <c r="C20" s="24" t="str">
        <f>IF(A20="","",IFERROR(INDEX(Matières!$E$5:$E$104,MATCH(A20,Matières!$A$5:$A$104,0)),"introuvable"))</f>
        <v/>
      </c>
      <c r="D20" s="13"/>
      <c r="E20" s="28">
        <f t="shared" si="0"/>
        <v>0</v>
      </c>
    </row>
    <row r="21" spans="1:5" x14ac:dyDescent="0.25">
      <c r="A21" s="10"/>
      <c r="B21" s="4" t="str">
        <f>IF(A21="","",IFERROR(INDEX(Matières!$D$5:$D$104,MATCH(A21,Matières!$A$5:$A$104,0)),"introuvable"))</f>
        <v/>
      </c>
      <c r="C21" s="24" t="str">
        <f>IF(A21="","",IFERROR(INDEX(Matières!$E$5:$E$104,MATCH(A21,Matières!$A$5:$A$104,0)),"introuvable"))</f>
        <v/>
      </c>
      <c r="D21" s="13"/>
      <c r="E21" s="28">
        <f t="shared" si="0"/>
        <v>0</v>
      </c>
    </row>
    <row r="22" spans="1:5" x14ac:dyDescent="0.25">
      <c r="A22" s="22" t="s">
        <v>170</v>
      </c>
      <c r="E22" s="29">
        <f>SUM(E12:E21)</f>
        <v>1.3367800000000001</v>
      </c>
    </row>
    <row r="23" spans="1:5" ht="27.95" customHeight="1" x14ac:dyDescent="0.25">
      <c r="A23" s="38" t="str">
        <f>IF(SUMPRODUCT((A12:A21&lt;&gt;"")*(1-ISNUMBER(C12:C21)))&gt;0,"ATTENTION : une ligne n'a pas de coût unitaire (onglet Matières : prix et quantité du lot, ou nom modifié). Elle compte pour 0 €.","")</f>
        <v/>
      </c>
      <c r="B23" s="35"/>
      <c r="C23" s="35"/>
      <c r="D23" s="35"/>
      <c r="E23" s="35"/>
    </row>
    <row r="24" spans="1:5" x14ac:dyDescent="0.25">
      <c r="A24" s="34" t="s">
        <v>171</v>
      </c>
      <c r="B24" s="35"/>
      <c r="C24" s="35"/>
      <c r="D24" s="35"/>
      <c r="E24" s="35"/>
    </row>
    <row r="25" spans="1:5" x14ac:dyDescent="0.25">
      <c r="A25" s="26" t="s">
        <v>172</v>
      </c>
      <c r="B25" s="27" t="s">
        <v>114</v>
      </c>
      <c r="C25" s="27" t="s">
        <v>167</v>
      </c>
      <c r="D25" s="27" t="s">
        <v>168</v>
      </c>
      <c r="E25" s="27" t="s">
        <v>169</v>
      </c>
    </row>
    <row r="26" spans="1:5" x14ac:dyDescent="0.25">
      <c r="A26" s="10" t="s">
        <v>149</v>
      </c>
      <c r="B26" s="4" t="str">
        <f>IF(A26="","",IFERROR(INDEX(Matières!$D$5:$D$104,MATCH(A26,Matières!$A$5:$A$104,0)),"introuvable"))</f>
        <v>pièce</v>
      </c>
      <c r="C26" s="24">
        <f>IF(A26="","",IFERROR(INDEX(Matières!$E$5:$E$104,MATCH(A26,Matières!$A$5:$A$104,0)),"introuvable"))</f>
        <v>0.4</v>
      </c>
      <c r="D26" s="13">
        <v>1</v>
      </c>
      <c r="E26" s="28">
        <f>IF(AND(ISNUMBER(C26),ISNUMBER(D26)),C26*D26,0)</f>
        <v>0.4</v>
      </c>
    </row>
    <row r="27" spans="1:5" x14ac:dyDescent="0.25">
      <c r="A27" s="10" t="s">
        <v>151</v>
      </c>
      <c r="B27" s="4" t="str">
        <f>IF(A27="","",IFERROR(INDEX(Matières!$D$5:$D$104,MATCH(A27,Matières!$A$5:$A$104,0)),"introuvable"))</f>
        <v>feuille</v>
      </c>
      <c r="C27" s="24">
        <f>IF(A27="","",IFERROR(INDEX(Matières!$E$5:$E$104,MATCH(A27,Matières!$A$5:$A$104,0)),"introuvable"))</f>
        <v>0.06</v>
      </c>
      <c r="D27" s="13">
        <v>1</v>
      </c>
      <c r="E27" s="28">
        <f>IF(AND(ISNUMBER(C27),ISNUMBER(D27)),C27*D27,0)</f>
        <v>0.06</v>
      </c>
    </row>
    <row r="28" spans="1:5" x14ac:dyDescent="0.25">
      <c r="A28" s="10"/>
      <c r="B28" s="4" t="str">
        <f>IF(A28="","",IFERROR(INDEX(Matières!$D$5:$D$104,MATCH(A28,Matières!$A$5:$A$104,0)),"introuvable"))</f>
        <v/>
      </c>
      <c r="C28" s="24" t="str">
        <f>IF(A28="","",IFERROR(INDEX(Matières!$E$5:$E$104,MATCH(A28,Matières!$A$5:$A$104,0)),"introuvable"))</f>
        <v/>
      </c>
      <c r="D28" s="13"/>
      <c r="E28" s="28">
        <f>IF(AND(ISNUMBER(C28),ISNUMBER(D28)),C28*D28,0)</f>
        <v>0</v>
      </c>
    </row>
    <row r="29" spans="1:5" x14ac:dyDescent="0.25">
      <c r="A29" s="10"/>
      <c r="B29" s="4" t="str">
        <f>IF(A29="","",IFERROR(INDEX(Matières!$D$5:$D$104,MATCH(A29,Matières!$A$5:$A$104,0)),"introuvable"))</f>
        <v/>
      </c>
      <c r="C29" s="24" t="str">
        <f>IF(A29="","",IFERROR(INDEX(Matières!$E$5:$E$104,MATCH(A29,Matières!$A$5:$A$104,0)),"introuvable"))</f>
        <v/>
      </c>
      <c r="D29" s="13"/>
      <c r="E29" s="28">
        <f>IF(AND(ISNUMBER(C29),ISNUMBER(D29)),C29*D29,0)</f>
        <v>0</v>
      </c>
    </row>
    <row r="30" spans="1:5" x14ac:dyDescent="0.25">
      <c r="A30" s="10"/>
      <c r="B30" s="4" t="str">
        <f>IF(A30="","",IFERROR(INDEX(Matières!$D$5:$D$104,MATCH(A30,Matières!$A$5:$A$104,0)),"introuvable"))</f>
        <v/>
      </c>
      <c r="C30" s="24" t="str">
        <f>IF(A30="","",IFERROR(INDEX(Matières!$E$5:$E$104,MATCH(A30,Matières!$A$5:$A$104,0)),"introuvable"))</f>
        <v/>
      </c>
      <c r="D30" s="13"/>
      <c r="E30" s="28">
        <f>IF(AND(ISNUMBER(C30),ISNUMBER(D30)),C30*D30,0)</f>
        <v>0</v>
      </c>
    </row>
    <row r="31" spans="1:5" x14ac:dyDescent="0.25">
      <c r="A31" s="22" t="s">
        <v>173</v>
      </c>
      <c r="E31" s="29">
        <f>SUM(E26:E30)</f>
        <v>0.46</v>
      </c>
    </row>
    <row r="32" spans="1:5" ht="27.95" customHeight="1" x14ac:dyDescent="0.25">
      <c r="A32" s="38" t="str">
        <f>IF(SUMPRODUCT((A26:A30&lt;&gt;"")*(1-ISNUMBER(C26:C30)))&gt;0,"ATTENTION : une ligne n'a pas de coût unitaire (onglet Matières : prix et quantité du lot, ou nom modifié). Elle compte pour 0 €.","")</f>
        <v/>
      </c>
      <c r="B32" s="35"/>
      <c r="C32" s="35"/>
      <c r="D32" s="35"/>
      <c r="E32" s="35"/>
    </row>
    <row r="33" spans="1:5" x14ac:dyDescent="0.25">
      <c r="A33" s="34" t="s">
        <v>174</v>
      </c>
      <c r="B33" s="35"/>
      <c r="C33" s="35"/>
      <c r="D33" s="35"/>
      <c r="E33" s="35"/>
    </row>
    <row r="34" spans="1:5" x14ac:dyDescent="0.25">
      <c r="A34" t="s">
        <v>175</v>
      </c>
      <c r="B34" s="14">
        <f>IF(B5&lt;1,E22/(1-B5),E22)</f>
        <v>1.4853111111111112</v>
      </c>
      <c r="C34" s="36" t="s">
        <v>176</v>
      </c>
      <c r="D34" s="35"/>
      <c r="E34" s="35"/>
    </row>
    <row r="35" spans="1:5" x14ac:dyDescent="0.25">
      <c r="A35" t="s">
        <v>171</v>
      </c>
      <c r="B35" s="14">
        <f>E31</f>
        <v>0.46</v>
      </c>
      <c r="C35" s="36"/>
      <c r="D35" s="35"/>
      <c r="E35" s="35"/>
    </row>
    <row r="36" spans="1:5" x14ac:dyDescent="0.25">
      <c r="A36" t="s">
        <v>177</v>
      </c>
      <c r="B36" s="14">
        <f>IF(ISNUMBER(B6),B6/60*Paramètres!$C$10,0)</f>
        <v>2.5</v>
      </c>
      <c r="C36" s="36" t="s">
        <v>178</v>
      </c>
      <c r="D36" s="35"/>
      <c r="E36" s="35"/>
    </row>
    <row r="37" spans="1:5" x14ac:dyDescent="0.25">
      <c r="A37" t="s">
        <v>179</v>
      </c>
      <c r="B37" s="14">
        <f>Paramètres!$C$14</f>
        <v>1.5</v>
      </c>
      <c r="C37" s="36" t="s">
        <v>180</v>
      </c>
      <c r="D37" s="35"/>
      <c r="E37" s="35"/>
    </row>
    <row r="38" spans="1:5" x14ac:dyDescent="0.25">
      <c r="A38" s="22" t="s">
        <v>181</v>
      </c>
      <c r="B38" s="16">
        <f>SUM(B34:B37)</f>
        <v>5.9453111111111117</v>
      </c>
      <c r="C38" s="36" t="s">
        <v>182</v>
      </c>
      <c r="D38" s="35"/>
      <c r="E38" s="35"/>
    </row>
    <row r="39" spans="1:5" x14ac:dyDescent="0.25">
      <c r="A39" t="s">
        <v>183</v>
      </c>
      <c r="B39" s="14">
        <f>B38*B4</f>
        <v>2.0808588888888888</v>
      </c>
      <c r="C39" s="36" t="s">
        <v>184</v>
      </c>
      <c r="D39" s="35"/>
      <c r="E39" s="35"/>
    </row>
    <row r="40" spans="1:5" x14ac:dyDescent="0.25">
      <c r="A40" s="22" t="s">
        <v>185</v>
      </c>
      <c r="B40" s="16">
        <f>B38+B39</f>
        <v>8.0261700000000005</v>
      </c>
      <c r="C40" s="36" t="s">
        <v>186</v>
      </c>
      <c r="D40" s="35"/>
      <c r="E40" s="35"/>
    </row>
    <row r="42" spans="1:5" x14ac:dyDescent="0.25">
      <c r="A42" s="34" t="s">
        <v>187</v>
      </c>
      <c r="B42" s="35"/>
      <c r="C42" s="35"/>
      <c r="D42" s="35"/>
      <c r="E42" s="35"/>
    </row>
    <row r="43" spans="1:5" x14ac:dyDescent="0.25">
      <c r="A43" s="26"/>
      <c r="B43" s="27" t="s">
        <v>188</v>
      </c>
      <c r="C43" s="27" t="s">
        <v>189</v>
      </c>
      <c r="D43" s="27" t="s">
        <v>190</v>
      </c>
      <c r="E43" s="27" t="s">
        <v>191</v>
      </c>
    </row>
    <row r="44" spans="1:5" x14ac:dyDescent="0.25">
      <c r="A44" s="30" t="s">
        <v>192</v>
      </c>
      <c r="B44" s="18">
        <f>Paramètres!$C$22</f>
        <v>0</v>
      </c>
      <c r="C44" s="18" t="str">
        <f>IF(AND(ISNUMBER(Paramètres!$C$34),ISNUMBER(Paramètres!$C$35)),Paramètres!$C$34,"À renseigner")</f>
        <v>À renseigner</v>
      </c>
      <c r="D44" s="18">
        <f>Paramètres!$C$37</f>
        <v>0.3</v>
      </c>
      <c r="E44" s="18">
        <f>0</f>
        <v>0</v>
      </c>
    </row>
    <row r="45" spans="1:5" x14ac:dyDescent="0.25">
      <c r="A45" s="30" t="s">
        <v>193</v>
      </c>
      <c r="B45" s="14">
        <f>Paramètres!$C$23</f>
        <v>0</v>
      </c>
      <c r="C45" s="14" t="str">
        <f>IF(AND(ISNUMBER(Paramètres!$C$34),ISNUMBER(Paramètres!$C$35)),Paramètres!$C$35,"À renseigner")</f>
        <v>À renseigner</v>
      </c>
      <c r="D45" s="14">
        <f>0</f>
        <v>0</v>
      </c>
      <c r="E45" s="14">
        <f>0</f>
        <v>0</v>
      </c>
    </row>
    <row r="46" spans="1:5" x14ac:dyDescent="0.25">
      <c r="A46" s="30" t="s">
        <v>194</v>
      </c>
      <c r="B46" s="14">
        <f>0</f>
        <v>0</v>
      </c>
      <c r="C46" s="14" t="str">
        <f>IF(AND(ISNUMBER(Paramètres!$C$34),ISNUMBER(Paramètres!$C$35)),$B$8,"À renseigner")</f>
        <v>À renseigner</v>
      </c>
      <c r="D46" s="14">
        <f>0</f>
        <v>0</v>
      </c>
      <c r="E46" s="14">
        <f>0</f>
        <v>0</v>
      </c>
    </row>
    <row r="47" spans="1:5" x14ac:dyDescent="0.25">
      <c r="A47" s="30" t="s">
        <v>195</v>
      </c>
      <c r="B47" s="14">
        <f>0</f>
        <v>0</v>
      </c>
      <c r="C47" s="14" t="str">
        <f>IF(AND(ISNUMBER(Paramètres!$C$34),ISNUMBER(Paramètres!$C$35)),$B$7,"À renseigner")</f>
        <v>À renseigner</v>
      </c>
      <c r="D47" s="14">
        <f>0</f>
        <v>0</v>
      </c>
      <c r="E47" s="14">
        <f>0</f>
        <v>0</v>
      </c>
    </row>
    <row r="48" spans="1:5" x14ac:dyDescent="0.25">
      <c r="A48" s="30" t="s">
        <v>196</v>
      </c>
      <c r="B48" s="18">
        <f>Paramètres!$C$20-B44</f>
        <v>0.877</v>
      </c>
      <c r="C48" s="18" t="str">
        <f>IF(AND(ISNUMBER(Paramètres!$C$34),ISNUMBER(Paramètres!$C$35)),Paramètres!$C$20-C44,"À renseigner")</f>
        <v>À renseigner</v>
      </c>
      <c r="D48" s="18">
        <f>Paramètres!$C$20-D44</f>
        <v>0.57699999999999996</v>
      </c>
      <c r="E48" s="18">
        <f>1-Paramètres!$C$16</f>
        <v>0.877</v>
      </c>
    </row>
    <row r="49" spans="1:5" x14ac:dyDescent="0.25">
      <c r="A49" s="30" t="s">
        <v>197</v>
      </c>
      <c r="B49" s="16">
        <f>IF(B48&gt;0,($B$38+B45+B46)/B48-B47,"Taux trop élevés")</f>
        <v>6.7791460788040041</v>
      </c>
      <c r="C49" s="16" t="str">
        <f>IF(AND(ISNUMBER(Paramètres!$C$34),ISNUMBER(Paramètres!$C$35)),IF(C48&gt;0,($B$38+C45+C46)/C48-C47,"Taux trop élevés"),"À renseigner")</f>
        <v>À renseigner</v>
      </c>
      <c r="D49" s="16">
        <f>IF(D48&gt;0,($B$38+D45+D46)/D48-D47,"Taux trop élevés")</f>
        <v>10.303832081648375</v>
      </c>
      <c r="E49" s="16">
        <f>IF(E48&gt;0,$B$38/E48,"Taux trop élevés")</f>
        <v>6.7791460788040041</v>
      </c>
    </row>
    <row r="50" spans="1:5" ht="57.95" customHeight="1" x14ac:dyDescent="0.25">
      <c r="A50" s="31" t="s">
        <v>198</v>
      </c>
      <c r="B50" s="16">
        <f>IF(B48&gt;0,($B$40+B45+B46)/B48-B47,"Taux trop élevés")</f>
        <v>9.1518472063854048</v>
      </c>
      <c r="C50" s="16" t="str">
        <f>IF(AND(ISNUMBER(Paramètres!$C$34),ISNUMBER(Paramètres!$C$35)),IF(C48&gt;0,($B$40+C45+C46)/C48-C47,"Taux trop élevés"),"À renseigner")</f>
        <v>À renseigner</v>
      </c>
      <c r="D50" s="16">
        <f>IF(D48&gt;0,($B$40+D45+D46)/D48-D47,"Taux trop élevés")</f>
        <v>13.910173310225305</v>
      </c>
      <c r="E50" s="16">
        <f>IF(NOT(ISNUMBER(B50)),"Taux trop élevés",IF(N(Paramètres!$C$39)&gt;0,B50/Paramètres!$C$39,"Coefficient boutique manquant"))</f>
        <v>4.1599305483570017</v>
      </c>
    </row>
    <row r="51" spans="1:5" ht="30" customHeight="1" x14ac:dyDescent="0.25">
      <c r="A51" s="30" t="s">
        <v>199</v>
      </c>
      <c r="B51" s="14"/>
      <c r="C51" s="14"/>
      <c r="D51" s="14"/>
      <c r="E51" s="16">
        <f>IF(ISNUMBER(B50),B50,"Taux trop élevés")</f>
        <v>9.1518472063854048</v>
      </c>
    </row>
    <row r="52" spans="1:5" ht="30" customHeight="1" x14ac:dyDescent="0.25">
      <c r="A52" s="30" t="s">
        <v>200</v>
      </c>
      <c r="B52" s="14"/>
      <c r="C52" s="14"/>
      <c r="D52" s="14"/>
      <c r="E52" s="14">
        <f>IF(ISNUMBER(E49),E49*Paramètres!$C$39,"Taux trop élevés")</f>
        <v>14.914121373368809</v>
      </c>
    </row>
    <row r="53" spans="1:5" ht="30" customHeight="1" x14ac:dyDescent="0.25">
      <c r="A53" s="30" t="s">
        <v>201</v>
      </c>
      <c r="B53" s="14"/>
      <c r="C53" s="14"/>
      <c r="D53" s="14"/>
      <c r="E53" s="14">
        <f>IF(E48&gt;0,$B$40/E48*Paramètres!$C$39,"Taux trop élevés")</f>
        <v>20.134063854047891</v>
      </c>
    </row>
    <row r="55" spans="1:5" x14ac:dyDescent="0.25">
      <c r="A55" s="34" t="s">
        <v>202</v>
      </c>
      <c r="B55" s="35"/>
      <c r="C55" s="35"/>
      <c r="D55" s="35"/>
      <c r="E55" s="35"/>
    </row>
    <row r="56" spans="1:5" x14ac:dyDescent="0.25">
      <c r="A56" t="s">
        <v>203</v>
      </c>
      <c r="B56" s="14">
        <f>IF(ISNUMBER(B50),B50+B47,0)</f>
        <v>9.1518472063854048</v>
      </c>
      <c r="C56" s="14" t="str">
        <f>IF(AND(ISNUMBER(Paramètres!$C$34),ISNUMBER(Paramètres!$C$35)),IF(ISNUMBER(C50),C50+C47,0),"À renseigner")</f>
        <v>À renseigner</v>
      </c>
      <c r="D56" s="14">
        <f>IF(ISNUMBER(D50),D50+D47,0)</f>
        <v>13.910173310225305</v>
      </c>
      <c r="E56" s="14">
        <f>IF(ISNUMBER(E50),E50*(1+Paramètres!$C$19),0)</f>
        <v>4.1599305483570017</v>
      </c>
    </row>
    <row r="57" spans="1:5" x14ac:dyDescent="0.25">
      <c r="A57" t="s">
        <v>204</v>
      </c>
      <c r="B57" s="14">
        <f>B56-B56/(1+Paramètres!$C$19)</f>
        <v>0</v>
      </c>
      <c r="C57" s="14" t="str">
        <f>IF(AND(ISNUMBER(Paramètres!$C$34),ISNUMBER(Paramètres!$C$35)),C56-C56/(1+Paramètres!$C$19),"À renseigner")</f>
        <v>À renseigner</v>
      </c>
      <c r="D57" s="14">
        <f>D56-D56/(1+Paramètres!$C$19)</f>
        <v>0</v>
      </c>
      <c r="E57" s="14">
        <f>E56-E56/(1+Paramètres!$C$19)</f>
        <v>0</v>
      </c>
    </row>
    <row r="58" spans="1:5" x14ac:dyDescent="0.25">
      <c r="A58" t="s">
        <v>205</v>
      </c>
      <c r="B58" s="14">
        <f>Paramètres!$C$16*B56/(1+Paramètres!$C$19)</f>
        <v>1.1256772063854048</v>
      </c>
      <c r="C58" s="14" t="str">
        <f>IF(AND(ISNUMBER(Paramètres!$C$34),ISNUMBER(Paramètres!$C$35)),Paramètres!$C$16*C56/(1+Paramètres!$C$19),"À renseigner")</f>
        <v>À renseigner</v>
      </c>
      <c r="D58" s="14">
        <f>Paramètres!$C$16*D56/(1+Paramètres!$C$19)</f>
        <v>1.7109513171577124</v>
      </c>
      <c r="E58" s="14">
        <f>Paramètres!$C$16*E56/(1+Paramètres!$C$19)</f>
        <v>0.5116714574479112</v>
      </c>
    </row>
    <row r="59" spans="1:5" x14ac:dyDescent="0.25">
      <c r="A59" t="s">
        <v>206</v>
      </c>
      <c r="B59" s="14">
        <f>B44*B56+IF(B56&gt;0,B45,0)</f>
        <v>0</v>
      </c>
      <c r="C59" s="14" t="str">
        <f>IF(AND(ISNUMBER(Paramètres!$C$34),ISNUMBER(Paramètres!$C$35)),C44*C56+IF(C56&gt;0,C45,0),"À renseigner")</f>
        <v>À renseigner</v>
      </c>
      <c r="D59" s="14">
        <f>D44*D56+IF(D56&gt;0,D45,0)</f>
        <v>4.1730519930675918</v>
      </c>
      <c r="E59" s="14">
        <f>E44*E56+IF(E56&gt;0,E45,0)</f>
        <v>0</v>
      </c>
    </row>
    <row r="60" spans="1:5" x14ac:dyDescent="0.25">
      <c r="A60" t="s">
        <v>207</v>
      </c>
      <c r="B60" s="14">
        <f>IF(B56&gt;0,B46,0)</f>
        <v>0</v>
      </c>
      <c r="C60" s="14" t="str">
        <f>IF(AND(ISNUMBER(Paramètres!$C$34),ISNUMBER(Paramètres!$C$35)),IF(C56&gt;0,C46,0),"À renseigner")</f>
        <v>À renseigner</v>
      </c>
      <c r="D60" s="14">
        <f>IF(D56&gt;0,D46,0)</f>
        <v>0</v>
      </c>
      <c r="E60" s="14">
        <f>IF(E56&gt;0,E46,0)</f>
        <v>0</v>
      </c>
    </row>
    <row r="61" spans="1:5" x14ac:dyDescent="0.25">
      <c r="A61" s="22" t="s">
        <v>208</v>
      </c>
      <c r="B61" s="16">
        <f>B56-B57-B58-B59-B60</f>
        <v>8.0261700000000005</v>
      </c>
      <c r="C61" s="16" t="str">
        <f>IF(AND(ISNUMBER(Paramètres!$C$34),ISNUMBER(Paramètres!$C$35)),C56-C57-C58-C59-C60,"À renseigner")</f>
        <v>À renseigner</v>
      </c>
      <c r="D61" s="16">
        <f>D56-D57-D58-D59-D60</f>
        <v>8.0261700000000005</v>
      </c>
      <c r="E61" s="16">
        <f>E56-E57-E58-E59-E60</f>
        <v>3.6482590909090904</v>
      </c>
    </row>
    <row r="62" spans="1:5" x14ac:dyDescent="0.25">
      <c r="A62" t="s">
        <v>209</v>
      </c>
      <c r="B62" s="14">
        <f>B61-$B$38</f>
        <v>2.0808588888888888</v>
      </c>
      <c r="C62" s="14" t="str">
        <f>IF(AND(ISNUMBER(Paramètres!$C$34),ISNUMBER(Paramètres!$C$35)),C61-$B$38,"À renseigner")</f>
        <v>À renseigner</v>
      </c>
      <c r="D62" s="14">
        <f>D61-$B$38</f>
        <v>2.0808588888888888</v>
      </c>
      <c r="E62" s="14">
        <f>E61-$B$38</f>
        <v>-2.2970520202020213</v>
      </c>
    </row>
    <row r="63" spans="1:5" ht="63.95" customHeight="1" x14ac:dyDescent="0.25">
      <c r="A63" t="s">
        <v>210</v>
      </c>
      <c r="B63" s="32" t="str">
        <f>IF(ISNUMBER(B50),IF(ABS(B61-$B$40)&lt;0.005,"OK : net = net visé","Écart à vérifier"),"Taux trop élevés")</f>
        <v>OK : net = net visé</v>
      </c>
      <c r="C63" s="32" t="str">
        <f>IF(AND(ISNUMBER(Paramètres!$C$34),ISNUMBER(Paramètres!$C$35)),IF(ISNUMBER(C50),IF(ABS(C61-$B$40)&lt;0.005,"OK : net = net visé","Écart à vérifier"),"Taux trop élevés"),"À renseigner")</f>
        <v>À renseigner</v>
      </c>
      <c r="D63" s="32" t="str">
        <f>IF(ISNUMBER(D50),IF(ABS(D61-$B$40)&lt;0.005,"OK : net = net visé","Écart à vérifier"),"Taux trop élevés")</f>
        <v>OK : net = net visé</v>
      </c>
      <c r="E63" s="33" t="str">
        <f>IF(AND(ISNUMBER(E49),ISNUMBER(E50)),IF(E50&lt;E49,"ATTENTION : prix de gros à perte, vous perdez de l'argent sur chaque vente (ligne 62). Montez votre prix public (ligne 52 ou 53).","OK : au-dessus du minimum"),IF(ISTEXT(E50),E50,"Taux trop élevés"))</f>
        <v>ATTENTION : prix de gros à perte, vous perdez de l'argent sur chaque vente (ligne 62). Montez votre prix public (ligne 52 ou 53).</v>
      </c>
    </row>
    <row r="65" spans="1:5" x14ac:dyDescent="0.25">
      <c r="A65" s="36" t="str">
        <f>IF(Paramètres!$C$17="Oui","Prix TTC : la TVA collectée est reversée à l'État.","Franchise en base de TVA : « TVA non applicable, art. 293 B du CGI ».")</f>
        <v>Franchise en base de TVA : « TVA non applicable, art. 293 B du CGI ».</v>
      </c>
      <c r="B65" s="35"/>
      <c r="C65" s="35"/>
      <c r="D65" s="35"/>
      <c r="E65" s="35"/>
    </row>
    <row r="66" spans="1:5" x14ac:dyDescent="0.25">
      <c r="A66" s="37" t="s">
        <v>211</v>
      </c>
      <c r="B66" s="35"/>
      <c r="C66" s="35"/>
      <c r="D66" s="35"/>
      <c r="E66" s="35"/>
    </row>
    <row r="67" spans="1:5" x14ac:dyDescent="0.25">
      <c r="A67" s="35"/>
      <c r="B67" s="35"/>
      <c r="C67" s="35"/>
      <c r="D67" s="35"/>
      <c r="E67" s="35"/>
    </row>
    <row r="68" spans="1:5" x14ac:dyDescent="0.25">
      <c r="A68" s="35"/>
      <c r="B68" s="35"/>
      <c r="C68" s="35"/>
      <c r="D68" s="35"/>
      <c r="E68" s="35"/>
    </row>
  </sheetData>
  <sheetProtection sheet="1" formatColumns="0" formatRows="0"/>
  <mergeCells count="22">
    <mergeCell ref="C3:E3"/>
    <mergeCell ref="A23:E23"/>
    <mergeCell ref="A32:E32"/>
    <mergeCell ref="C34:E34"/>
    <mergeCell ref="C6:E6"/>
    <mergeCell ref="C5:E5"/>
    <mergeCell ref="A10:E10"/>
    <mergeCell ref="A66:E68"/>
    <mergeCell ref="C7:E7"/>
    <mergeCell ref="C38:E38"/>
    <mergeCell ref="A55:E55"/>
    <mergeCell ref="C37:E37"/>
    <mergeCell ref="A42:E42"/>
    <mergeCell ref="A33:E33"/>
    <mergeCell ref="C35:E35"/>
    <mergeCell ref="A24:E24"/>
    <mergeCell ref="C40:E40"/>
    <mergeCell ref="C4:D4"/>
    <mergeCell ref="C36:E36"/>
    <mergeCell ref="A65:E65"/>
    <mergeCell ref="C39:E39"/>
    <mergeCell ref="C8:E8"/>
  </mergeCells>
  <conditionalFormatting sqref="B63:E63">
    <cfRule type="expression" dxfId="5" priority="1">
      <formula>LEFT(B63,2)&lt;&gt;"OK"</formula>
    </cfRule>
  </conditionalFormatting>
  <conditionalFormatting sqref="E50 E62">
    <cfRule type="expression" dxfId="4" priority="2">
      <formula>AND(ISNUMBER($E$50),ISNUMBER($E$49),$E$50&lt;$E$49)</formula>
    </cfRule>
  </conditionalFormatting>
  <dataValidations count="2">
    <dataValidation type="decimal" operator="greaterThanOrEqual" allowBlank="1" showErrorMessage="1" errorTitle="Valeur invalide" error="Saisissez un nombre positif ou nul." sqref="B4 D26:D30 D12:D21 B6:B8" xr:uid="{00000000-0002-0000-0500-000000000000}">
      <formula1>0</formula1>
    </dataValidation>
    <dataValidation type="custom" allowBlank="1" showErrorMessage="1" errorTitle="Taux invalide" error="Saisissez un pourcentage entre 0 % et 99,99 % (strictement inférieur à 100 %)." sqref="B5" xr:uid="{00000000-0002-0000-0500-000001000000}">
      <formula1>AND(ISNUMBER(B5),B5&gt;=0,B5&lt;1)</formula1>
    </dataValidation>
  </dataValidations>
  <printOptions horizontalCentered="1"/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hoix invalide" error="Choisissez une valeur dans la liste." xr:uid="{00000000-0002-0000-0500-000005000000}">
          <x14:formula1>
            <xm:f>Matières!$A$5:$A$104</xm:f>
          </x14:formula1>
          <xm:sqref>A12:A21 A26:A30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5" width="17" customWidth="1"/>
  </cols>
  <sheetData>
    <row r="1" spans="1:5" ht="21" x14ac:dyDescent="0.35">
      <c r="A1" s="1" t="str">
        <f>"Fiche 4 : "&amp;IF(B3="","(produit à nommer)",B3)</f>
        <v>Fiche 4 : (produit à nommer)</v>
      </c>
    </row>
    <row r="3" spans="1:5" x14ac:dyDescent="0.25">
      <c r="A3" t="s">
        <v>153</v>
      </c>
      <c r="B3" s="10"/>
      <c r="C3" s="36"/>
      <c r="D3" s="35"/>
      <c r="E3" s="35"/>
    </row>
    <row r="4" spans="1:5" x14ac:dyDescent="0.25">
      <c r="A4" t="s">
        <v>155</v>
      </c>
      <c r="B4" s="17">
        <v>0.3</v>
      </c>
      <c r="C4" s="36" t="s">
        <v>156</v>
      </c>
      <c r="D4" s="35"/>
      <c r="E4" s="25">
        <f>1+B4</f>
        <v>1.3</v>
      </c>
    </row>
    <row r="5" spans="1:5" x14ac:dyDescent="0.25">
      <c r="A5" t="s">
        <v>157</v>
      </c>
      <c r="B5" s="17">
        <v>0</v>
      </c>
      <c r="C5" s="36" t="s">
        <v>158</v>
      </c>
      <c r="D5" s="35"/>
      <c r="E5" s="35"/>
    </row>
    <row r="6" spans="1:5" x14ac:dyDescent="0.25">
      <c r="A6" t="s">
        <v>159</v>
      </c>
      <c r="B6" s="13"/>
      <c r="C6" s="36" t="s">
        <v>160</v>
      </c>
      <c r="D6" s="35"/>
      <c r="E6" s="35"/>
    </row>
    <row r="7" spans="1:5" x14ac:dyDescent="0.25">
      <c r="A7" t="s">
        <v>161</v>
      </c>
      <c r="B7" s="12">
        <v>0</v>
      </c>
      <c r="C7" s="36" t="s">
        <v>162</v>
      </c>
      <c r="D7" s="35"/>
      <c r="E7" s="35"/>
    </row>
    <row r="8" spans="1:5" x14ac:dyDescent="0.25">
      <c r="A8" t="s">
        <v>163</v>
      </c>
      <c r="B8" s="12">
        <v>0</v>
      </c>
      <c r="C8" s="36" t="s">
        <v>164</v>
      </c>
      <c r="D8" s="35"/>
      <c r="E8" s="35"/>
    </row>
    <row r="10" spans="1:5" x14ac:dyDescent="0.25">
      <c r="A10" s="34" t="s">
        <v>165</v>
      </c>
      <c r="B10" s="35"/>
      <c r="C10" s="35"/>
      <c r="D10" s="35"/>
      <c r="E10" s="35"/>
    </row>
    <row r="11" spans="1:5" x14ac:dyDescent="0.25">
      <c r="A11" s="26" t="s">
        <v>166</v>
      </c>
      <c r="B11" s="27" t="s">
        <v>114</v>
      </c>
      <c r="C11" s="27" t="s">
        <v>167</v>
      </c>
      <c r="D11" s="27" t="s">
        <v>168</v>
      </c>
      <c r="E11" s="27" t="s">
        <v>169</v>
      </c>
    </row>
    <row r="12" spans="1:5" x14ac:dyDescent="0.25">
      <c r="A12" s="10"/>
      <c r="B12" s="4" t="str">
        <f>IF(A12="","",IFERROR(INDEX(Matières!$D$5:$D$104,MATCH(A12,Matières!$A$5:$A$104,0)),"introuvable"))</f>
        <v/>
      </c>
      <c r="C12" s="24" t="str">
        <f>IF(A12="","",IFERROR(INDEX(Matières!$E$5:$E$104,MATCH(A12,Matières!$A$5:$A$104,0)),"introuvable"))</f>
        <v/>
      </c>
      <c r="D12" s="13"/>
      <c r="E12" s="28">
        <f t="shared" ref="E12:E21" si="0">IF(AND(ISNUMBER(C12),ISNUMBER(D12)),C12*D12,0)</f>
        <v>0</v>
      </c>
    </row>
    <row r="13" spans="1:5" x14ac:dyDescent="0.25">
      <c r="A13" s="10"/>
      <c r="B13" s="4" t="str">
        <f>IF(A13="","",IFERROR(INDEX(Matières!$D$5:$D$104,MATCH(A13,Matières!$A$5:$A$104,0)),"introuvable"))</f>
        <v/>
      </c>
      <c r="C13" s="24" t="str">
        <f>IF(A13="","",IFERROR(INDEX(Matières!$E$5:$E$104,MATCH(A13,Matières!$A$5:$A$104,0)),"introuvable"))</f>
        <v/>
      </c>
      <c r="D13" s="13"/>
      <c r="E13" s="28">
        <f t="shared" si="0"/>
        <v>0</v>
      </c>
    </row>
    <row r="14" spans="1:5" x14ac:dyDescent="0.25">
      <c r="A14" s="10"/>
      <c r="B14" s="4" t="str">
        <f>IF(A14="","",IFERROR(INDEX(Matières!$D$5:$D$104,MATCH(A14,Matières!$A$5:$A$104,0)),"introuvable"))</f>
        <v/>
      </c>
      <c r="C14" s="24" t="str">
        <f>IF(A14="","",IFERROR(INDEX(Matières!$E$5:$E$104,MATCH(A14,Matières!$A$5:$A$104,0)),"introuvable"))</f>
        <v/>
      </c>
      <c r="D14" s="13"/>
      <c r="E14" s="28">
        <f t="shared" si="0"/>
        <v>0</v>
      </c>
    </row>
    <row r="15" spans="1:5" x14ac:dyDescent="0.25">
      <c r="A15" s="10"/>
      <c r="B15" s="4" t="str">
        <f>IF(A15="","",IFERROR(INDEX(Matières!$D$5:$D$104,MATCH(A15,Matières!$A$5:$A$104,0)),"introuvable"))</f>
        <v/>
      </c>
      <c r="C15" s="24" t="str">
        <f>IF(A15="","",IFERROR(INDEX(Matières!$E$5:$E$104,MATCH(A15,Matières!$A$5:$A$104,0)),"introuvable"))</f>
        <v/>
      </c>
      <c r="D15" s="13"/>
      <c r="E15" s="28">
        <f t="shared" si="0"/>
        <v>0</v>
      </c>
    </row>
    <row r="16" spans="1:5" x14ac:dyDescent="0.25">
      <c r="A16" s="10"/>
      <c r="B16" s="4" t="str">
        <f>IF(A16="","",IFERROR(INDEX(Matières!$D$5:$D$104,MATCH(A16,Matières!$A$5:$A$104,0)),"introuvable"))</f>
        <v/>
      </c>
      <c r="C16" s="24" t="str">
        <f>IF(A16="","",IFERROR(INDEX(Matières!$E$5:$E$104,MATCH(A16,Matières!$A$5:$A$104,0)),"introuvable"))</f>
        <v/>
      </c>
      <c r="D16" s="13"/>
      <c r="E16" s="28">
        <f t="shared" si="0"/>
        <v>0</v>
      </c>
    </row>
    <row r="17" spans="1:5" x14ac:dyDescent="0.25">
      <c r="A17" s="10"/>
      <c r="B17" s="4" t="str">
        <f>IF(A17="","",IFERROR(INDEX(Matières!$D$5:$D$104,MATCH(A17,Matières!$A$5:$A$104,0)),"introuvable"))</f>
        <v/>
      </c>
      <c r="C17" s="24" t="str">
        <f>IF(A17="","",IFERROR(INDEX(Matières!$E$5:$E$104,MATCH(A17,Matières!$A$5:$A$104,0)),"introuvable"))</f>
        <v/>
      </c>
      <c r="D17" s="13"/>
      <c r="E17" s="28">
        <f t="shared" si="0"/>
        <v>0</v>
      </c>
    </row>
    <row r="18" spans="1:5" x14ac:dyDescent="0.25">
      <c r="A18" s="10"/>
      <c r="B18" s="4" t="str">
        <f>IF(A18="","",IFERROR(INDEX(Matières!$D$5:$D$104,MATCH(A18,Matières!$A$5:$A$104,0)),"introuvable"))</f>
        <v/>
      </c>
      <c r="C18" s="24" t="str">
        <f>IF(A18="","",IFERROR(INDEX(Matières!$E$5:$E$104,MATCH(A18,Matières!$A$5:$A$104,0)),"introuvable"))</f>
        <v/>
      </c>
      <c r="D18" s="13"/>
      <c r="E18" s="28">
        <f t="shared" si="0"/>
        <v>0</v>
      </c>
    </row>
    <row r="19" spans="1:5" x14ac:dyDescent="0.25">
      <c r="A19" s="10"/>
      <c r="B19" s="4" t="str">
        <f>IF(A19="","",IFERROR(INDEX(Matières!$D$5:$D$104,MATCH(A19,Matières!$A$5:$A$104,0)),"introuvable"))</f>
        <v/>
      </c>
      <c r="C19" s="24" t="str">
        <f>IF(A19="","",IFERROR(INDEX(Matières!$E$5:$E$104,MATCH(A19,Matières!$A$5:$A$104,0)),"introuvable"))</f>
        <v/>
      </c>
      <c r="D19" s="13"/>
      <c r="E19" s="28">
        <f t="shared" si="0"/>
        <v>0</v>
      </c>
    </row>
    <row r="20" spans="1:5" x14ac:dyDescent="0.25">
      <c r="A20" s="10"/>
      <c r="B20" s="4" t="str">
        <f>IF(A20="","",IFERROR(INDEX(Matières!$D$5:$D$104,MATCH(A20,Matières!$A$5:$A$104,0)),"introuvable"))</f>
        <v/>
      </c>
      <c r="C20" s="24" t="str">
        <f>IF(A20="","",IFERROR(INDEX(Matières!$E$5:$E$104,MATCH(A20,Matières!$A$5:$A$104,0)),"introuvable"))</f>
        <v/>
      </c>
      <c r="D20" s="13"/>
      <c r="E20" s="28">
        <f t="shared" si="0"/>
        <v>0</v>
      </c>
    </row>
    <row r="21" spans="1:5" x14ac:dyDescent="0.25">
      <c r="A21" s="10"/>
      <c r="B21" s="4" t="str">
        <f>IF(A21="","",IFERROR(INDEX(Matières!$D$5:$D$104,MATCH(A21,Matières!$A$5:$A$104,0)),"introuvable"))</f>
        <v/>
      </c>
      <c r="C21" s="24" t="str">
        <f>IF(A21="","",IFERROR(INDEX(Matières!$E$5:$E$104,MATCH(A21,Matières!$A$5:$A$104,0)),"introuvable"))</f>
        <v/>
      </c>
      <c r="D21" s="13"/>
      <c r="E21" s="28">
        <f t="shared" si="0"/>
        <v>0</v>
      </c>
    </row>
    <row r="22" spans="1:5" x14ac:dyDescent="0.25">
      <c r="A22" s="22" t="s">
        <v>170</v>
      </c>
      <c r="E22" s="29">
        <f>SUM(E12:E21)</f>
        <v>0</v>
      </c>
    </row>
    <row r="23" spans="1:5" ht="27.95" customHeight="1" x14ac:dyDescent="0.25">
      <c r="A23" s="38" t="str">
        <f>IF(SUMPRODUCT((A12:A21&lt;&gt;"")*(1-ISNUMBER(C12:C21)))&gt;0,"ATTENTION : une ligne n'a pas de coût unitaire (onglet Matières : prix et quantité du lot, ou nom modifié). Elle compte pour 0 €.","")</f>
        <v/>
      </c>
      <c r="B23" s="35"/>
      <c r="C23" s="35"/>
      <c r="D23" s="35"/>
      <c r="E23" s="35"/>
    </row>
    <row r="24" spans="1:5" x14ac:dyDescent="0.25">
      <c r="A24" s="34" t="s">
        <v>171</v>
      </c>
      <c r="B24" s="35"/>
      <c r="C24" s="35"/>
      <c r="D24" s="35"/>
      <c r="E24" s="35"/>
    </row>
    <row r="25" spans="1:5" x14ac:dyDescent="0.25">
      <c r="A25" s="26" t="s">
        <v>172</v>
      </c>
      <c r="B25" s="27" t="s">
        <v>114</v>
      </c>
      <c r="C25" s="27" t="s">
        <v>167</v>
      </c>
      <c r="D25" s="27" t="s">
        <v>168</v>
      </c>
      <c r="E25" s="27" t="s">
        <v>169</v>
      </c>
    </row>
    <row r="26" spans="1:5" x14ac:dyDescent="0.25">
      <c r="A26" s="10"/>
      <c r="B26" s="4" t="str">
        <f>IF(A26="","",IFERROR(INDEX(Matières!$D$5:$D$104,MATCH(A26,Matières!$A$5:$A$104,0)),"introuvable"))</f>
        <v/>
      </c>
      <c r="C26" s="24" t="str">
        <f>IF(A26="","",IFERROR(INDEX(Matières!$E$5:$E$104,MATCH(A26,Matières!$A$5:$A$104,0)),"introuvable"))</f>
        <v/>
      </c>
      <c r="D26" s="13"/>
      <c r="E26" s="28">
        <f>IF(AND(ISNUMBER(C26),ISNUMBER(D26)),C26*D26,0)</f>
        <v>0</v>
      </c>
    </row>
    <row r="27" spans="1:5" x14ac:dyDescent="0.25">
      <c r="A27" s="10"/>
      <c r="B27" s="4" t="str">
        <f>IF(A27="","",IFERROR(INDEX(Matières!$D$5:$D$104,MATCH(A27,Matières!$A$5:$A$104,0)),"introuvable"))</f>
        <v/>
      </c>
      <c r="C27" s="24" t="str">
        <f>IF(A27="","",IFERROR(INDEX(Matières!$E$5:$E$104,MATCH(A27,Matières!$A$5:$A$104,0)),"introuvable"))</f>
        <v/>
      </c>
      <c r="D27" s="13"/>
      <c r="E27" s="28">
        <f>IF(AND(ISNUMBER(C27),ISNUMBER(D27)),C27*D27,0)</f>
        <v>0</v>
      </c>
    </row>
    <row r="28" spans="1:5" x14ac:dyDescent="0.25">
      <c r="A28" s="10"/>
      <c r="B28" s="4" t="str">
        <f>IF(A28="","",IFERROR(INDEX(Matières!$D$5:$D$104,MATCH(A28,Matières!$A$5:$A$104,0)),"introuvable"))</f>
        <v/>
      </c>
      <c r="C28" s="24" t="str">
        <f>IF(A28="","",IFERROR(INDEX(Matières!$E$5:$E$104,MATCH(A28,Matières!$A$5:$A$104,0)),"introuvable"))</f>
        <v/>
      </c>
      <c r="D28" s="13"/>
      <c r="E28" s="28">
        <f>IF(AND(ISNUMBER(C28),ISNUMBER(D28)),C28*D28,0)</f>
        <v>0</v>
      </c>
    </row>
    <row r="29" spans="1:5" x14ac:dyDescent="0.25">
      <c r="A29" s="10"/>
      <c r="B29" s="4" t="str">
        <f>IF(A29="","",IFERROR(INDEX(Matières!$D$5:$D$104,MATCH(A29,Matières!$A$5:$A$104,0)),"introuvable"))</f>
        <v/>
      </c>
      <c r="C29" s="24" t="str">
        <f>IF(A29="","",IFERROR(INDEX(Matières!$E$5:$E$104,MATCH(A29,Matières!$A$5:$A$104,0)),"introuvable"))</f>
        <v/>
      </c>
      <c r="D29" s="13"/>
      <c r="E29" s="28">
        <f>IF(AND(ISNUMBER(C29),ISNUMBER(D29)),C29*D29,0)</f>
        <v>0</v>
      </c>
    </row>
    <row r="30" spans="1:5" x14ac:dyDescent="0.25">
      <c r="A30" s="10"/>
      <c r="B30" s="4" t="str">
        <f>IF(A30="","",IFERROR(INDEX(Matières!$D$5:$D$104,MATCH(A30,Matières!$A$5:$A$104,0)),"introuvable"))</f>
        <v/>
      </c>
      <c r="C30" s="24" t="str">
        <f>IF(A30="","",IFERROR(INDEX(Matières!$E$5:$E$104,MATCH(A30,Matières!$A$5:$A$104,0)),"introuvable"))</f>
        <v/>
      </c>
      <c r="D30" s="13"/>
      <c r="E30" s="28">
        <f>IF(AND(ISNUMBER(C30),ISNUMBER(D30)),C30*D30,0)</f>
        <v>0</v>
      </c>
    </row>
    <row r="31" spans="1:5" x14ac:dyDescent="0.25">
      <c r="A31" s="22" t="s">
        <v>173</v>
      </c>
      <c r="E31" s="29">
        <f>SUM(E26:E30)</f>
        <v>0</v>
      </c>
    </row>
    <row r="32" spans="1:5" ht="27.95" customHeight="1" x14ac:dyDescent="0.25">
      <c r="A32" s="38" t="str">
        <f>IF(SUMPRODUCT((A26:A30&lt;&gt;"")*(1-ISNUMBER(C26:C30)))&gt;0,"ATTENTION : une ligne n'a pas de coût unitaire (onglet Matières : prix et quantité du lot, ou nom modifié). Elle compte pour 0 €.","")</f>
        <v/>
      </c>
      <c r="B32" s="35"/>
      <c r="C32" s="35"/>
      <c r="D32" s="35"/>
      <c r="E32" s="35"/>
    </row>
    <row r="33" spans="1:5" x14ac:dyDescent="0.25">
      <c r="A33" s="34" t="s">
        <v>174</v>
      </c>
      <c r="B33" s="35"/>
      <c r="C33" s="35"/>
      <c r="D33" s="35"/>
      <c r="E33" s="35"/>
    </row>
    <row r="34" spans="1:5" x14ac:dyDescent="0.25">
      <c r="A34" t="s">
        <v>175</v>
      </c>
      <c r="B34" s="14">
        <f>IF(B5&lt;1,E22/(1-B5),E22)</f>
        <v>0</v>
      </c>
      <c r="C34" s="36" t="s">
        <v>176</v>
      </c>
      <c r="D34" s="35"/>
      <c r="E34" s="35"/>
    </row>
    <row r="35" spans="1:5" x14ac:dyDescent="0.25">
      <c r="A35" t="s">
        <v>171</v>
      </c>
      <c r="B35" s="14">
        <f>E31</f>
        <v>0</v>
      </c>
      <c r="C35" s="36"/>
      <c r="D35" s="35"/>
      <c r="E35" s="35"/>
    </row>
    <row r="36" spans="1:5" x14ac:dyDescent="0.25">
      <c r="A36" t="s">
        <v>177</v>
      </c>
      <c r="B36" s="14">
        <f>IF(ISNUMBER(B6),B6/60*Paramètres!$C$10,0)</f>
        <v>0</v>
      </c>
      <c r="C36" s="36" t="s">
        <v>178</v>
      </c>
      <c r="D36" s="35"/>
      <c r="E36" s="35"/>
    </row>
    <row r="37" spans="1:5" x14ac:dyDescent="0.25">
      <c r="A37" t="s">
        <v>179</v>
      </c>
      <c r="B37" s="14">
        <f>Paramètres!$C$14</f>
        <v>1.5</v>
      </c>
      <c r="C37" s="36" t="s">
        <v>180</v>
      </c>
      <c r="D37" s="35"/>
      <c r="E37" s="35"/>
    </row>
    <row r="38" spans="1:5" x14ac:dyDescent="0.25">
      <c r="A38" s="22" t="s">
        <v>181</v>
      </c>
      <c r="B38" s="16">
        <f>SUM(B34:B37)</f>
        <v>1.5</v>
      </c>
      <c r="C38" s="36" t="s">
        <v>182</v>
      </c>
      <c r="D38" s="35"/>
      <c r="E38" s="35"/>
    </row>
    <row r="39" spans="1:5" x14ac:dyDescent="0.25">
      <c r="A39" t="s">
        <v>183</v>
      </c>
      <c r="B39" s="14">
        <f>B38*B4</f>
        <v>0.44999999999999996</v>
      </c>
      <c r="C39" s="36" t="s">
        <v>184</v>
      </c>
      <c r="D39" s="35"/>
      <c r="E39" s="35"/>
    </row>
    <row r="40" spans="1:5" x14ac:dyDescent="0.25">
      <c r="A40" s="22" t="s">
        <v>185</v>
      </c>
      <c r="B40" s="16">
        <f>B38+B39</f>
        <v>1.95</v>
      </c>
      <c r="C40" s="36" t="s">
        <v>186</v>
      </c>
      <c r="D40" s="35"/>
      <c r="E40" s="35"/>
    </row>
    <row r="42" spans="1:5" x14ac:dyDescent="0.25">
      <c r="A42" s="34" t="s">
        <v>187</v>
      </c>
      <c r="B42" s="35"/>
      <c r="C42" s="35"/>
      <c r="D42" s="35"/>
      <c r="E42" s="35"/>
    </row>
    <row r="43" spans="1:5" x14ac:dyDescent="0.25">
      <c r="A43" s="26"/>
      <c r="B43" s="27" t="s">
        <v>188</v>
      </c>
      <c r="C43" s="27" t="s">
        <v>189</v>
      </c>
      <c r="D43" s="27" t="s">
        <v>190</v>
      </c>
      <c r="E43" s="27" t="s">
        <v>191</v>
      </c>
    </row>
    <row r="44" spans="1:5" x14ac:dyDescent="0.25">
      <c r="A44" s="30" t="s">
        <v>192</v>
      </c>
      <c r="B44" s="18">
        <f>Paramètres!$C$22</f>
        <v>0</v>
      </c>
      <c r="C44" s="18" t="str">
        <f>IF(AND(ISNUMBER(Paramètres!$C$34),ISNUMBER(Paramètres!$C$35)),Paramètres!$C$34,"À renseigner")</f>
        <v>À renseigner</v>
      </c>
      <c r="D44" s="18">
        <f>Paramètres!$C$37</f>
        <v>0.3</v>
      </c>
      <c r="E44" s="18">
        <f>0</f>
        <v>0</v>
      </c>
    </row>
    <row r="45" spans="1:5" x14ac:dyDescent="0.25">
      <c r="A45" s="30" t="s">
        <v>193</v>
      </c>
      <c r="B45" s="14">
        <f>Paramètres!$C$23</f>
        <v>0</v>
      </c>
      <c r="C45" s="14" t="str">
        <f>IF(AND(ISNUMBER(Paramètres!$C$34),ISNUMBER(Paramètres!$C$35)),Paramètres!$C$35,"À renseigner")</f>
        <v>À renseigner</v>
      </c>
      <c r="D45" s="14">
        <f>0</f>
        <v>0</v>
      </c>
      <c r="E45" s="14">
        <f>0</f>
        <v>0</v>
      </c>
    </row>
    <row r="46" spans="1:5" x14ac:dyDescent="0.25">
      <c r="A46" s="30" t="s">
        <v>194</v>
      </c>
      <c r="B46" s="14">
        <f>0</f>
        <v>0</v>
      </c>
      <c r="C46" s="14" t="str">
        <f>IF(AND(ISNUMBER(Paramètres!$C$34),ISNUMBER(Paramètres!$C$35)),$B$8,"À renseigner")</f>
        <v>À renseigner</v>
      </c>
      <c r="D46" s="14">
        <f>0</f>
        <v>0</v>
      </c>
      <c r="E46" s="14">
        <f>0</f>
        <v>0</v>
      </c>
    </row>
    <row r="47" spans="1:5" x14ac:dyDescent="0.25">
      <c r="A47" s="30" t="s">
        <v>195</v>
      </c>
      <c r="B47" s="14">
        <f>0</f>
        <v>0</v>
      </c>
      <c r="C47" s="14" t="str">
        <f>IF(AND(ISNUMBER(Paramètres!$C$34),ISNUMBER(Paramètres!$C$35)),$B$7,"À renseigner")</f>
        <v>À renseigner</v>
      </c>
      <c r="D47" s="14">
        <f>0</f>
        <v>0</v>
      </c>
      <c r="E47" s="14">
        <f>0</f>
        <v>0</v>
      </c>
    </row>
    <row r="48" spans="1:5" x14ac:dyDescent="0.25">
      <c r="A48" s="30" t="s">
        <v>196</v>
      </c>
      <c r="B48" s="18">
        <f>Paramètres!$C$20-B44</f>
        <v>0.877</v>
      </c>
      <c r="C48" s="18" t="str">
        <f>IF(AND(ISNUMBER(Paramètres!$C$34),ISNUMBER(Paramètres!$C$35)),Paramètres!$C$20-C44,"À renseigner")</f>
        <v>À renseigner</v>
      </c>
      <c r="D48" s="18">
        <f>Paramètres!$C$20-D44</f>
        <v>0.57699999999999996</v>
      </c>
      <c r="E48" s="18">
        <f>1-Paramètres!$C$16</f>
        <v>0.877</v>
      </c>
    </row>
    <row r="49" spans="1:5" x14ac:dyDescent="0.25">
      <c r="A49" s="30" t="s">
        <v>197</v>
      </c>
      <c r="B49" s="16">
        <f>IF(B48&gt;0,($B$38+B45+B46)/B48-B47,"Taux trop élevés")</f>
        <v>1.710376282782212</v>
      </c>
      <c r="C49" s="16" t="str">
        <f>IF(AND(ISNUMBER(Paramètres!$C$34),ISNUMBER(Paramètres!$C$35)),IF(C48&gt;0,($B$38+C45+C46)/C48-C47,"Taux trop élevés"),"À renseigner")</f>
        <v>À renseigner</v>
      </c>
      <c r="D49" s="16">
        <f>IF(D48&gt;0,($B$38+D45+D46)/D48-D47,"Taux trop élevés")</f>
        <v>2.5996533795493937</v>
      </c>
      <c r="E49" s="16">
        <f>IF(E48&gt;0,$B$38/E48,"Taux trop élevés")</f>
        <v>1.710376282782212</v>
      </c>
    </row>
    <row r="50" spans="1:5" ht="57.95" customHeight="1" x14ac:dyDescent="0.25">
      <c r="A50" s="31" t="s">
        <v>198</v>
      </c>
      <c r="B50" s="16">
        <f>IF(B48&gt;0,($B$40+B45+B46)/B48-B47,"Taux trop élevés")</f>
        <v>2.2234891676168758</v>
      </c>
      <c r="C50" s="16" t="str">
        <f>IF(AND(ISNUMBER(Paramètres!$C$34),ISNUMBER(Paramètres!$C$35)),IF(C48&gt;0,($B$40+C45+C46)/C48-C47,"Taux trop élevés"),"À renseigner")</f>
        <v>À renseigner</v>
      </c>
      <c r="D50" s="16">
        <f>IF(D48&gt;0,($B$40+D45+D46)/D48-D47,"Taux trop élevés")</f>
        <v>3.3795493934142118</v>
      </c>
      <c r="E50" s="16">
        <f>IF(NOT(ISNUMBER(B50)),"Taux trop élevés",IF(N(Paramètres!$C$39)&gt;0,B50/Paramètres!$C$39,"Coefficient boutique manquant"))</f>
        <v>1.0106768943713071</v>
      </c>
    </row>
    <row r="51" spans="1:5" ht="30" customHeight="1" x14ac:dyDescent="0.25">
      <c r="A51" s="30" t="s">
        <v>199</v>
      </c>
      <c r="B51" s="14"/>
      <c r="C51" s="14"/>
      <c r="D51" s="14"/>
      <c r="E51" s="16">
        <f>IF(ISNUMBER(B50),B50,"Taux trop élevés")</f>
        <v>2.2234891676168758</v>
      </c>
    </row>
    <row r="52" spans="1:5" ht="30" customHeight="1" x14ac:dyDescent="0.25">
      <c r="A52" s="30" t="s">
        <v>200</v>
      </c>
      <c r="B52" s="14"/>
      <c r="C52" s="14"/>
      <c r="D52" s="14"/>
      <c r="E52" s="14">
        <f>IF(ISNUMBER(E49),E49*Paramètres!$C$39,"Taux trop élevés")</f>
        <v>3.7628278221208666</v>
      </c>
    </row>
    <row r="53" spans="1:5" ht="30" customHeight="1" x14ac:dyDescent="0.25">
      <c r="A53" s="30" t="s">
        <v>201</v>
      </c>
      <c r="B53" s="14"/>
      <c r="C53" s="14"/>
      <c r="D53" s="14"/>
      <c r="E53" s="14">
        <f>IF(E48&gt;0,$B$40/E48*Paramètres!$C$39,"Taux trop élevés")</f>
        <v>4.8916761687571269</v>
      </c>
    </row>
    <row r="55" spans="1:5" x14ac:dyDescent="0.25">
      <c r="A55" s="34" t="s">
        <v>202</v>
      </c>
      <c r="B55" s="35"/>
      <c r="C55" s="35"/>
      <c r="D55" s="35"/>
      <c r="E55" s="35"/>
    </row>
    <row r="56" spans="1:5" x14ac:dyDescent="0.25">
      <c r="A56" t="s">
        <v>203</v>
      </c>
      <c r="B56" s="14">
        <f>IF(ISNUMBER(B50),B50+B47,0)</f>
        <v>2.2234891676168758</v>
      </c>
      <c r="C56" s="14" t="str">
        <f>IF(AND(ISNUMBER(Paramètres!$C$34),ISNUMBER(Paramètres!$C$35)),IF(ISNUMBER(C50),C50+C47,0),"À renseigner")</f>
        <v>À renseigner</v>
      </c>
      <c r="D56" s="14">
        <f>IF(ISNUMBER(D50),D50+D47,0)</f>
        <v>3.3795493934142118</v>
      </c>
      <c r="E56" s="14">
        <f>IF(ISNUMBER(E50),E50*(1+Paramètres!$C$19),0)</f>
        <v>1.0106768943713071</v>
      </c>
    </row>
    <row r="57" spans="1:5" x14ac:dyDescent="0.25">
      <c r="A57" t="s">
        <v>204</v>
      </c>
      <c r="B57" s="14">
        <f>B56-B56/(1+Paramètres!$C$19)</f>
        <v>0</v>
      </c>
      <c r="C57" s="14" t="str">
        <f>IF(AND(ISNUMBER(Paramètres!$C$34),ISNUMBER(Paramètres!$C$35)),C56-C56/(1+Paramètres!$C$19),"À renseigner")</f>
        <v>À renseigner</v>
      </c>
      <c r="D57" s="14">
        <f>D56-D56/(1+Paramètres!$C$19)</f>
        <v>0</v>
      </c>
      <c r="E57" s="14">
        <f>E56-E56/(1+Paramètres!$C$19)</f>
        <v>0</v>
      </c>
    </row>
    <row r="58" spans="1:5" x14ac:dyDescent="0.25">
      <c r="A58" t="s">
        <v>205</v>
      </c>
      <c r="B58" s="14">
        <f>Paramètres!$C$16*B56/(1+Paramètres!$C$19)</f>
        <v>0.27348916761687569</v>
      </c>
      <c r="C58" s="14" t="str">
        <f>IF(AND(ISNUMBER(Paramètres!$C$34),ISNUMBER(Paramètres!$C$35)),Paramètres!$C$16*C56/(1+Paramètres!$C$19),"À renseigner")</f>
        <v>À renseigner</v>
      </c>
      <c r="D58" s="14">
        <f>Paramètres!$C$16*D56/(1+Paramètres!$C$19)</f>
        <v>0.41568457538994802</v>
      </c>
      <c r="E58" s="14">
        <f>Paramètres!$C$16*E56/(1+Paramètres!$C$19)</f>
        <v>0.12431325800767078</v>
      </c>
    </row>
    <row r="59" spans="1:5" x14ac:dyDescent="0.25">
      <c r="A59" t="s">
        <v>206</v>
      </c>
      <c r="B59" s="14">
        <f>B44*B56+IF(B56&gt;0,B45,0)</f>
        <v>0</v>
      </c>
      <c r="C59" s="14" t="str">
        <f>IF(AND(ISNUMBER(Paramètres!$C$34),ISNUMBER(Paramètres!$C$35)),C44*C56+IF(C56&gt;0,C45,0),"À renseigner")</f>
        <v>À renseigner</v>
      </c>
      <c r="D59" s="14">
        <f>D44*D56+IF(D56&gt;0,D45,0)</f>
        <v>1.0138648180242635</v>
      </c>
      <c r="E59" s="14">
        <f>E44*E56+IF(E56&gt;0,E45,0)</f>
        <v>0</v>
      </c>
    </row>
    <row r="60" spans="1:5" x14ac:dyDescent="0.25">
      <c r="A60" t="s">
        <v>207</v>
      </c>
      <c r="B60" s="14">
        <f>IF(B56&gt;0,B46,0)</f>
        <v>0</v>
      </c>
      <c r="C60" s="14" t="str">
        <f>IF(AND(ISNUMBER(Paramètres!$C$34),ISNUMBER(Paramètres!$C$35)),IF(C56&gt;0,C46,0),"À renseigner")</f>
        <v>À renseigner</v>
      </c>
      <c r="D60" s="14">
        <f>IF(D56&gt;0,D46,0)</f>
        <v>0</v>
      </c>
      <c r="E60" s="14">
        <f>IF(E56&gt;0,E46,0)</f>
        <v>0</v>
      </c>
    </row>
    <row r="61" spans="1:5" x14ac:dyDescent="0.25">
      <c r="A61" s="22" t="s">
        <v>208</v>
      </c>
      <c r="B61" s="16">
        <f>B56-B57-B58-B59-B60</f>
        <v>1.9500000000000002</v>
      </c>
      <c r="C61" s="16" t="str">
        <f>IF(AND(ISNUMBER(Paramètres!$C$34),ISNUMBER(Paramètres!$C$35)),C56-C57-C58-C59-C60,"À renseigner")</f>
        <v>À renseigner</v>
      </c>
      <c r="D61" s="16">
        <f>D56-D57-D58-D59-D60</f>
        <v>1.9500000000000004</v>
      </c>
      <c r="E61" s="16">
        <f>E56-E57-E58-E59-E60</f>
        <v>0.88636363636363635</v>
      </c>
    </row>
    <row r="62" spans="1:5" x14ac:dyDescent="0.25">
      <c r="A62" t="s">
        <v>209</v>
      </c>
      <c r="B62" s="14">
        <f>B61-$B$38</f>
        <v>0.45000000000000018</v>
      </c>
      <c r="C62" s="14" t="str">
        <f>IF(AND(ISNUMBER(Paramètres!$C$34),ISNUMBER(Paramètres!$C$35)),C61-$B$38,"À renseigner")</f>
        <v>À renseigner</v>
      </c>
      <c r="D62" s="14">
        <f>D61-$B$38</f>
        <v>0.4500000000000004</v>
      </c>
      <c r="E62" s="14">
        <f>E61-$B$38</f>
        <v>-0.61363636363636365</v>
      </c>
    </row>
    <row r="63" spans="1:5" ht="63.95" customHeight="1" x14ac:dyDescent="0.25">
      <c r="A63" t="s">
        <v>210</v>
      </c>
      <c r="B63" s="32" t="str">
        <f>IF(ISNUMBER(B50),IF(ABS(B61-$B$40)&lt;0.005,"OK : net = net visé","Écart à vérifier"),"Taux trop élevés")</f>
        <v>OK : net = net visé</v>
      </c>
      <c r="C63" s="32" t="str">
        <f>IF(AND(ISNUMBER(Paramètres!$C$34),ISNUMBER(Paramètres!$C$35)),IF(ISNUMBER(C50),IF(ABS(C61-$B$40)&lt;0.005,"OK : net = net visé","Écart à vérifier"),"Taux trop élevés"),"À renseigner")</f>
        <v>À renseigner</v>
      </c>
      <c r="D63" s="32" t="str">
        <f>IF(ISNUMBER(D50),IF(ABS(D61-$B$40)&lt;0.005,"OK : net = net visé","Écart à vérifier"),"Taux trop élevés")</f>
        <v>OK : net = net visé</v>
      </c>
      <c r="E63" s="33" t="str">
        <f>IF(AND(ISNUMBER(E49),ISNUMBER(E50)),IF(E50&lt;E49,"ATTENTION : prix de gros à perte, vous perdez de l'argent sur chaque vente (ligne 62). Montez votre prix public (ligne 52 ou 53).","OK : au-dessus du minimum"),IF(ISTEXT(E50),E50,"Taux trop élevés"))</f>
        <v>ATTENTION : prix de gros à perte, vous perdez de l'argent sur chaque vente (ligne 62). Montez votre prix public (ligne 52 ou 53).</v>
      </c>
    </row>
    <row r="65" spans="1:5" x14ac:dyDescent="0.25">
      <c r="A65" s="36" t="str">
        <f>IF(Paramètres!$C$17="Oui","Prix TTC : la TVA collectée est reversée à l'État.","Franchise en base de TVA : « TVA non applicable, art. 293 B du CGI ».")</f>
        <v>Franchise en base de TVA : « TVA non applicable, art. 293 B du CGI ».</v>
      </c>
      <c r="B65" s="35"/>
      <c r="C65" s="35"/>
      <c r="D65" s="35"/>
      <c r="E65" s="35"/>
    </row>
    <row r="66" spans="1:5" x14ac:dyDescent="0.25">
      <c r="A66" s="37" t="s">
        <v>211</v>
      </c>
      <c r="B66" s="35"/>
      <c r="C66" s="35"/>
      <c r="D66" s="35"/>
      <c r="E66" s="35"/>
    </row>
    <row r="67" spans="1:5" x14ac:dyDescent="0.25">
      <c r="A67" s="35"/>
      <c r="B67" s="35"/>
      <c r="C67" s="35"/>
      <c r="D67" s="35"/>
      <c r="E67" s="35"/>
    </row>
    <row r="68" spans="1:5" x14ac:dyDescent="0.25">
      <c r="A68" s="35"/>
      <c r="B68" s="35"/>
      <c r="C68" s="35"/>
      <c r="D68" s="35"/>
      <c r="E68" s="35"/>
    </row>
  </sheetData>
  <sheetProtection sheet="1" formatColumns="0" formatRows="0"/>
  <mergeCells count="22">
    <mergeCell ref="C3:E3"/>
    <mergeCell ref="A23:E23"/>
    <mergeCell ref="A32:E32"/>
    <mergeCell ref="C34:E34"/>
    <mergeCell ref="C6:E6"/>
    <mergeCell ref="C5:E5"/>
    <mergeCell ref="A10:E10"/>
    <mergeCell ref="A66:E68"/>
    <mergeCell ref="C7:E7"/>
    <mergeCell ref="C38:E38"/>
    <mergeCell ref="A55:E55"/>
    <mergeCell ref="C37:E37"/>
    <mergeCell ref="A42:E42"/>
    <mergeCell ref="A33:E33"/>
    <mergeCell ref="C35:E35"/>
    <mergeCell ref="A24:E24"/>
    <mergeCell ref="C40:E40"/>
    <mergeCell ref="C4:D4"/>
    <mergeCell ref="C36:E36"/>
    <mergeCell ref="A65:E65"/>
    <mergeCell ref="C39:E39"/>
    <mergeCell ref="C8:E8"/>
  </mergeCells>
  <conditionalFormatting sqref="B63:E63">
    <cfRule type="expression" dxfId="3" priority="1">
      <formula>LEFT(B63,2)&lt;&gt;"OK"</formula>
    </cfRule>
  </conditionalFormatting>
  <conditionalFormatting sqref="E50 E62">
    <cfRule type="expression" dxfId="2" priority="2">
      <formula>AND(ISNUMBER($E$50),ISNUMBER($E$49),$E$50&lt;$E$49)</formula>
    </cfRule>
  </conditionalFormatting>
  <dataValidations count="2">
    <dataValidation type="decimal" operator="greaterThanOrEqual" allowBlank="1" showErrorMessage="1" errorTitle="Valeur invalide" error="Saisissez un nombre positif ou nul." sqref="B4 D26:D30 D12:D21 B6:B8" xr:uid="{00000000-0002-0000-0600-000000000000}">
      <formula1>0</formula1>
    </dataValidation>
    <dataValidation type="custom" allowBlank="1" showErrorMessage="1" errorTitle="Taux invalide" error="Saisissez un pourcentage entre 0 % et 99,99 % (strictement inférieur à 100 %)." sqref="B5" xr:uid="{00000000-0002-0000-0600-000001000000}">
      <formula1>AND(ISNUMBER(B5),B5&gt;=0,B5&lt;1)</formula1>
    </dataValidation>
  </dataValidations>
  <printOptions horizontalCentered="1"/>
  <pageMargins left="0.5" right="0.5" top="0.6" bottom="0.6" header="0.5" footer="0.5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hoix invalide" error="Choisissez une valeur dans la liste." xr:uid="{00000000-0002-0000-0600-000005000000}">
          <x14:formula1>
            <xm:f>Matières!$A$5:$A$104</xm:f>
          </x14:formula1>
          <xm:sqref>A12:A21 A26:A30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28" customWidth="1"/>
    <col min="3" max="17" width="13" customWidth="1"/>
    <col min="18" max="18" width="30" customWidth="1"/>
    <col min="19" max="19" width="22" customWidth="1"/>
  </cols>
  <sheetData>
    <row r="1" spans="1:19" ht="21" x14ac:dyDescent="0.35">
      <c r="A1" s="1" t="s">
        <v>214</v>
      </c>
    </row>
    <row r="2" spans="1:19" x14ac:dyDescent="0.25">
      <c r="A2" s="7" t="s">
        <v>215</v>
      </c>
    </row>
    <row r="4" spans="1:19" ht="45" customHeight="1" x14ac:dyDescent="0.25">
      <c r="A4" s="27" t="s">
        <v>216</v>
      </c>
      <c r="B4" s="27" t="s">
        <v>217</v>
      </c>
      <c r="C4" s="27" t="s">
        <v>218</v>
      </c>
      <c r="D4" s="27" t="s">
        <v>219</v>
      </c>
      <c r="E4" s="27" t="s">
        <v>220</v>
      </c>
      <c r="F4" s="27" t="s">
        <v>221</v>
      </c>
      <c r="G4" s="27" t="s">
        <v>222</v>
      </c>
      <c r="H4" s="27" t="s">
        <v>223</v>
      </c>
      <c r="I4" s="27" t="s">
        <v>224</v>
      </c>
      <c r="J4" s="27" t="s">
        <v>225</v>
      </c>
      <c r="K4" s="27" t="s">
        <v>226</v>
      </c>
      <c r="L4" s="27" t="s">
        <v>227</v>
      </c>
      <c r="M4" s="27" t="s">
        <v>228</v>
      </c>
      <c r="N4" s="27" t="s">
        <v>229</v>
      </c>
      <c r="O4" s="27" t="s">
        <v>230</v>
      </c>
      <c r="P4" s="27" t="s">
        <v>231</v>
      </c>
      <c r="Q4" s="27" t="s">
        <v>232</v>
      </c>
      <c r="R4" s="27" t="s">
        <v>233</v>
      </c>
    </row>
    <row r="5" spans="1:19" ht="63.95" customHeight="1" x14ac:dyDescent="0.25">
      <c r="A5" s="4" t="s">
        <v>234</v>
      </c>
      <c r="B5" s="4" t="str">
        <f>IF('Fiche 1'!B3="","(vide)",'Fiche 1'!B3)</f>
        <v>Bougie parfumée en pot 200 ml</v>
      </c>
      <c r="C5" s="14">
        <f>IF(AND('Fiche 1'!$B$3="",'Fiche 1'!$E$22=0,'Fiche 1'!$E$31=0,N('Fiche 1'!$B$6)=0),"",'Fiche 1'!B38)</f>
        <v>11.638333333333334</v>
      </c>
      <c r="D5" s="14">
        <f>IF(AND('Fiche 1'!$B$3="",'Fiche 1'!$E$22=0,'Fiche 1'!$E$31=0,N('Fiche 1'!$B$6)=0),"",'Fiche 1'!B40)</f>
        <v>15.129833333333334</v>
      </c>
      <c r="E5" s="14">
        <f>IF(AND('Fiche 1'!$B$3="",'Fiche 1'!$E$22=0,'Fiche 1'!$E$31=0,N('Fiche 1'!$B$6)=0),"",'Fiche 1'!B49)</f>
        <v>13.270619536297986</v>
      </c>
      <c r="F5" s="16">
        <f>IF(AND('Fiche 1'!$B$3="",'Fiche 1'!$E$22=0,'Fiche 1'!$E$31=0,N('Fiche 1'!$B$6)=0),"",'Fiche 1'!B50)</f>
        <v>17.251805397187383</v>
      </c>
      <c r="G5" s="16" t="str">
        <f>IF(AND('Fiche 1'!$B$3="",'Fiche 1'!$E$22=0,'Fiche 1'!$E$31=0,N('Fiche 1'!$B$6)=0),"",'Fiche 1'!C50)</f>
        <v>À renseigner</v>
      </c>
      <c r="H5" s="16">
        <f>IF(AND('Fiche 1'!$B$3="",'Fiche 1'!$E$22=0,'Fiche 1'!$E$31=0,N('Fiche 1'!$B$6)=0),"",'Fiche 1'!D50)</f>
        <v>26.221548238012712</v>
      </c>
      <c r="I5" s="14">
        <f>IF(AND('Fiche 1'!$B$3="",'Fiche 1'!$E$22=0,'Fiche 1'!$E$31=0,N('Fiche 1'!$B$6)=0),"",'Fiche 1'!E50)</f>
        <v>7.8417297259942638</v>
      </c>
      <c r="J5" s="14">
        <f>IF(AND('Fiche 1'!$B$3="",'Fiche 1'!$E$22=0,'Fiche 1'!$E$31=0,N('Fiche 1'!$B$6)=0),"",'Fiche 1'!E51)</f>
        <v>17.251805397187383</v>
      </c>
      <c r="K5" s="14">
        <f>IF(AND('Fiche 1'!$B$3="",'Fiche 1'!$E$22=0,'Fiche 1'!$E$31=0,N('Fiche 1'!$B$6)=0),"",'Fiche 1'!E52)</f>
        <v>29.19536297985557</v>
      </c>
      <c r="L5" s="14">
        <f>IF(AND('Fiche 1'!$B$3="",'Fiche 1'!$E$22=0,'Fiche 1'!$E$31=0,N('Fiche 1'!$B$6)=0),"",'Fiche 1'!E53)</f>
        <v>37.953971873812243</v>
      </c>
      <c r="M5" s="14">
        <f>IF(AND('Fiche 1'!$B$3="",'Fiche 1'!$E$22=0,'Fiche 1'!$E$31=0,N('Fiche 1'!$B$6)=0),"",'Fiche 1'!B61)</f>
        <v>15.129833333333334</v>
      </c>
      <c r="N5" s="14" t="str">
        <f>IF(AND('Fiche 1'!$B$3="",'Fiche 1'!$E$22=0,'Fiche 1'!$E$31=0,N('Fiche 1'!$B$6)=0),"",'Fiche 1'!C61)</f>
        <v>À renseigner</v>
      </c>
      <c r="O5" s="14">
        <f>IF(AND('Fiche 1'!$B$3="",'Fiche 1'!$E$22=0,'Fiche 1'!$E$31=0,N('Fiche 1'!$B$6)=0),"",'Fiche 1'!D61)</f>
        <v>15.129833333333337</v>
      </c>
      <c r="P5" s="14">
        <f>IF(AND('Fiche 1'!$B$3="",'Fiche 1'!$E$22=0,'Fiche 1'!$E$31=0,N('Fiche 1'!$B$6)=0),"",'Fiche 1'!E61)</f>
        <v>6.8771969696969695</v>
      </c>
      <c r="Q5" s="14">
        <f>IF(AND('Fiche 1'!$B$3="",'Fiche 1'!$E$22=0,'Fiche 1'!$E$31=0,N('Fiche 1'!$B$6)=0),"",'Fiche 1'!E62)</f>
        <v>-4.7611363636363642</v>
      </c>
      <c r="R5" s="33" t="str">
        <f>IF(AND('Fiche 1'!$B$3="",'Fiche 1'!$E$22=0,'Fiche 1'!$E$31=0,N('Fiche 1'!$B$6)=0),"",'Fiche 1'!E63)</f>
        <v>ATTENTION : prix de gros à perte, vous perdez de l'argent sur chaque vente (ligne 62). Montez votre prix public (ligne 52 ou 53).</v>
      </c>
      <c r="S5" s="33" t="str">
        <f>IF(AND('Fiche 1'!$B$3="",'Fiche 1'!$E$22=0,'Fiche 1'!$E$31=0,N('Fiche 1'!$B$6)=0),"",IF('Fiche 1'!A23&amp;'Fiche 1'!A32&lt;&gt;"","ATTENTION : une matière n'a pas de coût","OK"))</f>
        <v>OK</v>
      </c>
    </row>
    <row r="6" spans="1:19" ht="63.95" customHeight="1" x14ac:dyDescent="0.25">
      <c r="A6" s="4" t="s">
        <v>235</v>
      </c>
      <c r="B6" s="4" t="str">
        <f>IF('Fiche 2'!B3="","(vide)",'Fiche 2'!B3)</f>
        <v>Bracelet chaîne et perles</v>
      </c>
      <c r="C6" s="14">
        <f>IF(AND('Fiche 2'!$B$3="",'Fiche 2'!$E$22=0,'Fiche 2'!$E$31=0,N('Fiche 2'!$B$6)=0),"",'Fiche 2'!B38)</f>
        <v>10.713402061855671</v>
      </c>
      <c r="D6" s="14">
        <f>IF(AND('Fiche 2'!$B$3="",'Fiche 2'!$E$22=0,'Fiche 2'!$E$31=0,N('Fiche 2'!$B$6)=0),"",'Fiche 2'!B40)</f>
        <v>14.998762886597941</v>
      </c>
      <c r="E6" s="14">
        <f>IF(AND('Fiche 2'!$B$3="",'Fiche 2'!$E$22=0,'Fiche 2'!$E$31=0,N('Fiche 2'!$B$6)=0),"",'Fiche 2'!B49)</f>
        <v>12.215965863005326</v>
      </c>
      <c r="F6" s="16">
        <f>IF(AND('Fiche 2'!$B$3="",'Fiche 2'!$E$22=0,'Fiche 2'!$E$31=0,N('Fiche 2'!$B$6)=0),"",'Fiche 2'!B50)</f>
        <v>17.10235220820746</v>
      </c>
      <c r="G6" s="16" t="str">
        <f>IF(AND('Fiche 2'!$B$3="",'Fiche 2'!$E$22=0,'Fiche 2'!$E$31=0,N('Fiche 2'!$B$6)=0),"",'Fiche 2'!C50)</f>
        <v>À renseigner</v>
      </c>
      <c r="H6" s="16">
        <f>IF(AND('Fiche 2'!$B$3="",'Fiche 2'!$E$22=0,'Fiche 2'!$E$31=0,N('Fiche 2'!$B$6)=0),"",'Fiche 2'!D50)</f>
        <v>25.994389751469569</v>
      </c>
      <c r="I6" s="14">
        <f>IF(AND('Fiche 2'!$B$3="",'Fiche 2'!$E$22=0,'Fiche 2'!$E$31=0,N('Fiche 2'!$B$6)=0),"",'Fiche 2'!E50)</f>
        <v>7.7737964582761174</v>
      </c>
      <c r="J6" s="14">
        <f>IF(AND('Fiche 2'!$B$3="",'Fiche 2'!$E$22=0,'Fiche 2'!$E$31=0,N('Fiche 2'!$B$6)=0),"",'Fiche 2'!E51)</f>
        <v>17.10235220820746</v>
      </c>
      <c r="K6" s="14">
        <f>IF(AND('Fiche 2'!$B$3="",'Fiche 2'!$E$22=0,'Fiche 2'!$E$31=0,N('Fiche 2'!$B$6)=0),"",'Fiche 2'!E52)</f>
        <v>26.87512489861172</v>
      </c>
      <c r="L6" s="14">
        <f>IF(AND('Fiche 2'!$B$3="",'Fiche 2'!$E$22=0,'Fiche 2'!$E$31=0,N('Fiche 2'!$B$6)=0),"",'Fiche 2'!E53)</f>
        <v>37.625174858056418</v>
      </c>
      <c r="M6" s="14">
        <f>IF(AND('Fiche 2'!$B$3="",'Fiche 2'!$E$22=0,'Fiche 2'!$E$31=0,N('Fiche 2'!$B$6)=0),"",'Fiche 2'!B61)</f>
        <v>14.998762886597943</v>
      </c>
      <c r="N6" s="14" t="str">
        <f>IF(AND('Fiche 2'!$B$3="",'Fiche 2'!$E$22=0,'Fiche 2'!$E$31=0,N('Fiche 2'!$B$6)=0),"",'Fiche 2'!C61)</f>
        <v>À renseigner</v>
      </c>
      <c r="O6" s="14">
        <f>IF(AND('Fiche 2'!$B$3="",'Fiche 2'!$E$22=0,'Fiche 2'!$E$31=0,N('Fiche 2'!$B$6)=0),"",'Fiche 2'!D61)</f>
        <v>14.998762886597943</v>
      </c>
      <c r="P6" s="14">
        <f>IF(AND('Fiche 2'!$B$3="",'Fiche 2'!$E$22=0,'Fiche 2'!$E$31=0,N('Fiche 2'!$B$6)=0),"",'Fiche 2'!E61)</f>
        <v>6.8176194939081549</v>
      </c>
      <c r="Q6" s="14">
        <f>IF(AND('Fiche 2'!$B$3="",'Fiche 2'!$E$22=0,'Fiche 2'!$E$31=0,N('Fiche 2'!$B$6)=0),"",'Fiche 2'!E62)</f>
        <v>-3.8957825679475162</v>
      </c>
      <c r="R6" s="33" t="str">
        <f>IF(AND('Fiche 2'!$B$3="",'Fiche 2'!$E$22=0,'Fiche 2'!$E$31=0,N('Fiche 2'!$B$6)=0),"",'Fiche 2'!E63)</f>
        <v>ATTENTION : prix de gros à perte, vous perdez de l'argent sur chaque vente (ligne 62). Montez votre prix public (ligne 52 ou 53).</v>
      </c>
      <c r="S6" s="33" t="str">
        <f>IF(AND('Fiche 2'!$B$3="",'Fiche 2'!$E$22=0,'Fiche 2'!$E$31=0,N('Fiche 2'!$B$6)=0),"",IF('Fiche 2'!A23&amp;'Fiche 2'!A32&lt;&gt;"","ATTENTION : une matière n'a pas de coût","OK"))</f>
        <v>OK</v>
      </c>
    </row>
    <row r="7" spans="1:19" ht="63.95" customHeight="1" x14ac:dyDescent="0.25">
      <c r="A7" s="4" t="s">
        <v>236</v>
      </c>
      <c r="B7" s="4" t="str">
        <f>IF('Fiche 3'!B3="","(vide)",'Fiche 3'!B3)</f>
        <v>Figurine imprimée en 3D</v>
      </c>
      <c r="C7" s="14">
        <f>IF(AND('Fiche 3'!$B$3="",'Fiche 3'!$E$22=0,'Fiche 3'!$E$31=0,N('Fiche 3'!$B$6)=0),"",'Fiche 3'!B38)</f>
        <v>5.9453111111111117</v>
      </c>
      <c r="D7" s="14">
        <f>IF(AND('Fiche 3'!$B$3="",'Fiche 3'!$E$22=0,'Fiche 3'!$E$31=0,N('Fiche 3'!$B$6)=0),"",'Fiche 3'!B40)</f>
        <v>8.0261700000000005</v>
      </c>
      <c r="E7" s="14">
        <f>IF(AND('Fiche 3'!$B$3="",'Fiche 3'!$E$22=0,'Fiche 3'!$E$31=0,N('Fiche 3'!$B$6)=0),"",'Fiche 3'!B49)</f>
        <v>6.7791460788040041</v>
      </c>
      <c r="F7" s="16">
        <f>IF(AND('Fiche 3'!$B$3="",'Fiche 3'!$E$22=0,'Fiche 3'!$E$31=0,N('Fiche 3'!$B$6)=0),"",'Fiche 3'!B50)</f>
        <v>9.1518472063854048</v>
      </c>
      <c r="G7" s="16" t="str">
        <f>IF(AND('Fiche 3'!$B$3="",'Fiche 3'!$E$22=0,'Fiche 3'!$E$31=0,N('Fiche 3'!$B$6)=0),"",'Fiche 3'!C50)</f>
        <v>À renseigner</v>
      </c>
      <c r="H7" s="16">
        <f>IF(AND('Fiche 3'!$B$3="",'Fiche 3'!$E$22=0,'Fiche 3'!$E$31=0,N('Fiche 3'!$B$6)=0),"",'Fiche 3'!D50)</f>
        <v>13.910173310225305</v>
      </c>
      <c r="I7" s="14">
        <f>IF(AND('Fiche 3'!$B$3="",'Fiche 3'!$E$22=0,'Fiche 3'!$E$31=0,N('Fiche 3'!$B$6)=0),"",'Fiche 3'!E50)</f>
        <v>4.1599305483570017</v>
      </c>
      <c r="J7" s="14">
        <f>IF(AND('Fiche 3'!$B$3="",'Fiche 3'!$E$22=0,'Fiche 3'!$E$31=0,N('Fiche 3'!$B$6)=0),"",'Fiche 3'!E51)</f>
        <v>9.1518472063854048</v>
      </c>
      <c r="K7" s="14">
        <f>IF(AND('Fiche 3'!$B$3="",'Fiche 3'!$E$22=0,'Fiche 3'!$E$31=0,N('Fiche 3'!$B$6)=0),"",'Fiche 3'!E52)</f>
        <v>14.914121373368809</v>
      </c>
      <c r="L7" s="14">
        <f>IF(AND('Fiche 3'!$B$3="",'Fiche 3'!$E$22=0,'Fiche 3'!$E$31=0,N('Fiche 3'!$B$6)=0),"",'Fiche 3'!E53)</f>
        <v>20.134063854047891</v>
      </c>
      <c r="M7" s="14">
        <f>IF(AND('Fiche 3'!$B$3="",'Fiche 3'!$E$22=0,'Fiche 3'!$E$31=0,N('Fiche 3'!$B$6)=0),"",'Fiche 3'!B61)</f>
        <v>8.0261700000000005</v>
      </c>
      <c r="N7" s="14" t="str">
        <f>IF(AND('Fiche 3'!$B$3="",'Fiche 3'!$E$22=0,'Fiche 3'!$E$31=0,N('Fiche 3'!$B$6)=0),"",'Fiche 3'!C61)</f>
        <v>À renseigner</v>
      </c>
      <c r="O7" s="14">
        <f>IF(AND('Fiche 3'!$B$3="",'Fiche 3'!$E$22=0,'Fiche 3'!$E$31=0,N('Fiche 3'!$B$6)=0),"",'Fiche 3'!D61)</f>
        <v>8.0261700000000005</v>
      </c>
      <c r="P7" s="14">
        <f>IF(AND('Fiche 3'!$B$3="",'Fiche 3'!$E$22=0,'Fiche 3'!$E$31=0,N('Fiche 3'!$B$6)=0),"",'Fiche 3'!E61)</f>
        <v>3.6482590909090904</v>
      </c>
      <c r="Q7" s="14">
        <f>IF(AND('Fiche 3'!$B$3="",'Fiche 3'!$E$22=0,'Fiche 3'!$E$31=0,N('Fiche 3'!$B$6)=0),"",'Fiche 3'!E62)</f>
        <v>-2.2970520202020213</v>
      </c>
      <c r="R7" s="33" t="str">
        <f>IF(AND('Fiche 3'!$B$3="",'Fiche 3'!$E$22=0,'Fiche 3'!$E$31=0,N('Fiche 3'!$B$6)=0),"",'Fiche 3'!E63)</f>
        <v>ATTENTION : prix de gros à perte, vous perdez de l'argent sur chaque vente (ligne 62). Montez votre prix public (ligne 52 ou 53).</v>
      </c>
      <c r="S7" s="33" t="str">
        <f>IF(AND('Fiche 3'!$B$3="",'Fiche 3'!$E$22=0,'Fiche 3'!$E$31=0,N('Fiche 3'!$B$6)=0),"",IF('Fiche 3'!A23&amp;'Fiche 3'!A32&lt;&gt;"","ATTENTION : une matière n'a pas de coût","OK"))</f>
        <v>OK</v>
      </c>
    </row>
    <row r="8" spans="1:19" ht="63.95" customHeight="1" x14ac:dyDescent="0.25">
      <c r="A8" s="4" t="s">
        <v>237</v>
      </c>
      <c r="B8" s="4" t="str">
        <f>IF('Fiche 4'!B3="","(vide)",'Fiche 4'!B3)</f>
        <v>(vide)</v>
      </c>
      <c r="C8" s="14" t="str">
        <f>IF(AND('Fiche 4'!$B$3="",'Fiche 4'!$E$22=0,'Fiche 4'!$E$31=0,N('Fiche 4'!$B$6)=0),"",'Fiche 4'!B38)</f>
        <v/>
      </c>
      <c r="D8" s="14" t="str">
        <f>IF(AND('Fiche 4'!$B$3="",'Fiche 4'!$E$22=0,'Fiche 4'!$E$31=0,N('Fiche 4'!$B$6)=0),"",'Fiche 4'!B40)</f>
        <v/>
      </c>
      <c r="E8" s="14" t="str">
        <f>IF(AND('Fiche 4'!$B$3="",'Fiche 4'!$E$22=0,'Fiche 4'!$E$31=0,N('Fiche 4'!$B$6)=0),"",'Fiche 4'!B49)</f>
        <v/>
      </c>
      <c r="F8" s="16" t="str">
        <f>IF(AND('Fiche 4'!$B$3="",'Fiche 4'!$E$22=0,'Fiche 4'!$E$31=0,N('Fiche 4'!$B$6)=0),"",'Fiche 4'!B50)</f>
        <v/>
      </c>
      <c r="G8" s="16" t="str">
        <f>IF(AND('Fiche 4'!$B$3="",'Fiche 4'!$E$22=0,'Fiche 4'!$E$31=0,N('Fiche 4'!$B$6)=0),"",'Fiche 4'!C50)</f>
        <v/>
      </c>
      <c r="H8" s="16" t="str">
        <f>IF(AND('Fiche 4'!$B$3="",'Fiche 4'!$E$22=0,'Fiche 4'!$E$31=0,N('Fiche 4'!$B$6)=0),"",'Fiche 4'!D50)</f>
        <v/>
      </c>
      <c r="I8" s="14" t="str">
        <f>IF(AND('Fiche 4'!$B$3="",'Fiche 4'!$E$22=0,'Fiche 4'!$E$31=0,N('Fiche 4'!$B$6)=0),"",'Fiche 4'!E50)</f>
        <v/>
      </c>
      <c r="J8" s="14" t="str">
        <f>IF(AND('Fiche 4'!$B$3="",'Fiche 4'!$E$22=0,'Fiche 4'!$E$31=0,N('Fiche 4'!$B$6)=0),"",'Fiche 4'!E51)</f>
        <v/>
      </c>
      <c r="K8" s="14" t="str">
        <f>IF(AND('Fiche 4'!$B$3="",'Fiche 4'!$E$22=0,'Fiche 4'!$E$31=0,N('Fiche 4'!$B$6)=0),"",'Fiche 4'!E52)</f>
        <v/>
      </c>
      <c r="L8" s="14" t="str">
        <f>IF(AND('Fiche 4'!$B$3="",'Fiche 4'!$E$22=0,'Fiche 4'!$E$31=0,N('Fiche 4'!$B$6)=0),"",'Fiche 4'!E53)</f>
        <v/>
      </c>
      <c r="M8" s="14" t="str">
        <f>IF(AND('Fiche 4'!$B$3="",'Fiche 4'!$E$22=0,'Fiche 4'!$E$31=0,N('Fiche 4'!$B$6)=0),"",'Fiche 4'!B61)</f>
        <v/>
      </c>
      <c r="N8" s="14" t="str">
        <f>IF(AND('Fiche 4'!$B$3="",'Fiche 4'!$E$22=0,'Fiche 4'!$E$31=0,N('Fiche 4'!$B$6)=0),"",'Fiche 4'!C61)</f>
        <v/>
      </c>
      <c r="O8" s="14" t="str">
        <f>IF(AND('Fiche 4'!$B$3="",'Fiche 4'!$E$22=0,'Fiche 4'!$E$31=0,N('Fiche 4'!$B$6)=0),"",'Fiche 4'!D61)</f>
        <v/>
      </c>
      <c r="P8" s="14" t="str">
        <f>IF(AND('Fiche 4'!$B$3="",'Fiche 4'!$E$22=0,'Fiche 4'!$E$31=0,N('Fiche 4'!$B$6)=0),"",'Fiche 4'!E61)</f>
        <v/>
      </c>
      <c r="Q8" s="14" t="str">
        <f>IF(AND('Fiche 4'!$B$3="",'Fiche 4'!$E$22=0,'Fiche 4'!$E$31=0,N('Fiche 4'!$B$6)=0),"",'Fiche 4'!E62)</f>
        <v/>
      </c>
      <c r="R8" s="33" t="str">
        <f>IF(AND('Fiche 4'!$B$3="",'Fiche 4'!$E$22=0,'Fiche 4'!$E$31=0,N('Fiche 4'!$B$6)=0),"",'Fiche 4'!E63)</f>
        <v/>
      </c>
      <c r="S8" s="33" t="str">
        <f>IF(AND('Fiche 4'!$B$3="",'Fiche 4'!$E$22=0,'Fiche 4'!$E$31=0,N('Fiche 4'!$B$6)=0),"",IF('Fiche 4'!A23&amp;'Fiche 4'!A32&lt;&gt;"","ATTENTION : une matière n'a pas de coût","OK"))</f>
        <v/>
      </c>
    </row>
  </sheetData>
  <sheetProtection sheet="1" formatColumns="0" formatRows="0"/>
  <conditionalFormatting sqref="I5:I8 Q5:Q8">
    <cfRule type="expression" dxfId="1" priority="3">
      <formula>AND(ISNUMBER($Q5),$Q5&lt;0)</formula>
    </cfRule>
  </conditionalFormatting>
  <conditionalFormatting sqref="R5:S8">
    <cfRule type="expression" dxfId="0" priority="1">
      <formula>AND(R5&lt;&gt;"",LEFT(R5,2)&lt;&gt;"OK")</formula>
    </cfRule>
  </conditionalFormatting>
  <printOptions horizontalCentered="1"/>
  <pageMargins left="0.5" right="0.5" top="0.6" bottom="0.6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Mode d'emploi</vt:lpstr>
      <vt:lpstr>Paramètres</vt:lpstr>
      <vt:lpstr>Matières</vt:lpstr>
      <vt:lpstr>Fiche 1</vt:lpstr>
      <vt:lpstr>Fiche 2</vt:lpstr>
      <vt:lpstr>Fiche 3</vt:lpstr>
      <vt:lpstr>Fiche 4</vt:lpstr>
      <vt:lpstr>Synthèse</vt:lpstr>
      <vt:lpstr>'Fiche 1'!Print_Area</vt:lpstr>
      <vt:lpstr>'Fiche 2'!Print_Area</vt:lpstr>
      <vt:lpstr>'Fiche 3'!Print_Area</vt:lpstr>
      <vt:lpstr>'Fiche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Prix d'Atelier : prix de revient créateur</dc:title>
  <dc:creator/>
  <cp:lastModifiedBy/>
  <dcterms:created xsi:type="dcterms:W3CDTF">2026-10-10T12:01:38Z</dcterms:created>
  <dcterms:modified xsi:type="dcterms:W3CDTF">2026-10-10T12:01:40Z</dcterms:modified>
  <dc:language>fr-FR</dc:language>
</cp:coreProperties>
</file>